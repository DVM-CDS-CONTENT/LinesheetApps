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92A71682-5AE8-416C-8FC3-9B53D324DB04}" xr6:coauthVersionLast="47" xr6:coauthVersionMax="47" xr10:uidLastSave="{00000000-0000-0000-0000-000000000000}"/>
  <bookViews>
    <workbookView xWindow="2688" yWindow="2688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ATT_OPTION!$AD$2:$AD$9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23" i="1" l="1"/>
  <c r="DN23" i="1"/>
  <c r="CT23" i="1"/>
  <c r="CG23" i="1"/>
  <c r="CD23" i="1"/>
  <c r="CA23" i="1"/>
  <c r="BX23" i="1"/>
  <c r="BU23" i="1"/>
  <c r="BR23" i="1"/>
  <c r="BO23" i="1"/>
  <c r="BL23" i="1"/>
  <c r="BI23" i="1"/>
  <c r="BF23" i="1"/>
  <c r="BC23" i="1"/>
  <c r="AZ23" i="1"/>
  <c r="AW23" i="1"/>
  <c r="AT23" i="1"/>
  <c r="AH23" i="1"/>
  <c r="A23" i="1"/>
  <c r="DO22" i="1"/>
  <c r="DN22" i="1"/>
  <c r="CT22" i="1"/>
  <c r="CG22" i="1"/>
  <c r="CD22" i="1"/>
  <c r="CA22" i="1"/>
  <c r="BX22" i="1"/>
  <c r="BU22" i="1"/>
  <c r="BR22" i="1"/>
  <c r="BO22" i="1"/>
  <c r="BL22" i="1"/>
  <c r="BI22" i="1"/>
  <c r="BF22" i="1"/>
  <c r="BC22" i="1"/>
  <c r="AZ22" i="1"/>
  <c r="AW22" i="1"/>
  <c r="AT22" i="1"/>
  <c r="AH22" i="1"/>
  <c r="A22" i="1"/>
  <c r="DO21" i="1"/>
  <c r="DN21" i="1"/>
  <c r="CT21" i="1"/>
  <c r="CG21" i="1"/>
  <c r="CD21" i="1"/>
  <c r="CA21" i="1"/>
  <c r="BX21" i="1"/>
  <c r="BU21" i="1"/>
  <c r="BR21" i="1"/>
  <c r="BO21" i="1"/>
  <c r="BL21" i="1"/>
  <c r="BI21" i="1"/>
  <c r="BF21" i="1"/>
  <c r="BC21" i="1"/>
  <c r="AZ21" i="1"/>
  <c r="AW21" i="1"/>
  <c r="AT21" i="1"/>
  <c r="AH21" i="1"/>
  <c r="A21" i="1"/>
  <c r="DO20" i="1"/>
  <c r="DN20" i="1"/>
  <c r="CT20" i="1"/>
  <c r="CG20" i="1"/>
  <c r="CD20" i="1"/>
  <c r="CA20" i="1"/>
  <c r="BX20" i="1"/>
  <c r="BU20" i="1"/>
  <c r="BR20" i="1"/>
  <c r="BO20" i="1"/>
  <c r="BL20" i="1"/>
  <c r="BI20" i="1"/>
  <c r="BF20" i="1"/>
  <c r="BC20" i="1"/>
  <c r="AZ20" i="1"/>
  <c r="AW20" i="1"/>
  <c r="AT20" i="1"/>
  <c r="AH20" i="1"/>
  <c r="A20" i="1"/>
  <c r="DO19" i="1"/>
  <c r="DN19" i="1"/>
  <c r="CT19" i="1"/>
  <c r="CG19" i="1"/>
  <c r="CD19" i="1"/>
  <c r="CA19" i="1"/>
  <c r="BX19" i="1"/>
  <c r="BU19" i="1"/>
  <c r="BR19" i="1"/>
  <c r="BO19" i="1"/>
  <c r="BL19" i="1"/>
  <c r="BI19" i="1"/>
  <c r="BF19" i="1"/>
  <c r="BC19" i="1"/>
  <c r="AZ19" i="1"/>
  <c r="AW19" i="1"/>
  <c r="AT19" i="1"/>
  <c r="AH19" i="1"/>
  <c r="A19" i="1"/>
  <c r="DO18" i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23" i="1"/>
  <c r="J23" i="1"/>
  <c r="U22" i="1"/>
  <c r="Y21" i="1"/>
  <c r="AM19" i="1"/>
  <c r="J19" i="1"/>
  <c r="U18" i="1"/>
  <c r="Y17" i="1"/>
  <c r="AM15" i="1"/>
  <c r="J15" i="1"/>
  <c r="U14" i="1"/>
  <c r="Y13" i="1"/>
  <c r="BW16" i="1"/>
  <c r="AE16" i="1"/>
  <c r="BN15" i="1"/>
  <c r="AJ15" i="1"/>
  <c r="BQ14" i="1"/>
  <c r="CF13" i="1"/>
  <c r="BT13" i="1"/>
  <c r="AV13" i="1"/>
  <c r="BZ22" i="1"/>
  <c r="BE21" i="1"/>
  <c r="CF20" i="1"/>
  <c r="AV20" i="1"/>
  <c r="BW19" i="1"/>
  <c r="AE19" i="1"/>
  <c r="BZ18" i="1"/>
  <c r="CC17" i="1"/>
  <c r="BT16" i="1"/>
  <c r="W16" i="1"/>
  <c r="BK15" i="1"/>
  <c r="BN14" i="1"/>
  <c r="BE13" i="1"/>
  <c r="U19" i="1"/>
  <c r="S23" i="1"/>
  <c r="BW21" i="1"/>
  <c r="BN20" i="1"/>
  <c r="BE19" i="1"/>
  <c r="BH18" i="1"/>
  <c r="AY17" i="1"/>
  <c r="AJ16" i="1"/>
  <c r="S15" i="1"/>
  <c r="BH14" i="1"/>
  <c r="AE13" i="1"/>
  <c r="BZ23" i="1"/>
  <c r="BN23" i="1"/>
  <c r="BB23" i="1"/>
  <c r="AJ23" i="1"/>
  <c r="CC22" i="1"/>
  <c r="BQ22" i="1"/>
  <c r="BE22" i="1"/>
  <c r="S22" i="1"/>
  <c r="CF21" i="1"/>
  <c r="BT21" i="1"/>
  <c r="BH21" i="1"/>
  <c r="AV21" i="1"/>
  <c r="W21" i="1"/>
  <c r="CI20" i="1"/>
  <c r="BW20" i="1"/>
  <c r="BK20" i="1"/>
  <c r="AY20" i="1"/>
  <c r="AE20" i="1"/>
  <c r="BZ19" i="1"/>
  <c r="BN19" i="1"/>
  <c r="BB19" i="1"/>
  <c r="AJ19" i="1"/>
  <c r="CC18" i="1"/>
  <c r="BQ18" i="1"/>
  <c r="BE18" i="1"/>
  <c r="S18" i="1"/>
  <c r="CF17" i="1"/>
  <c r="BT17" i="1"/>
  <c r="BH17" i="1"/>
  <c r="AV17" i="1"/>
  <c r="W17" i="1"/>
  <c r="CI16" i="1"/>
  <c r="BK16" i="1"/>
  <c r="AY16" i="1"/>
  <c r="BZ15" i="1"/>
  <c r="BB15" i="1"/>
  <c r="CC14" i="1"/>
  <c r="BE14" i="1"/>
  <c r="S14" i="1"/>
  <c r="BH13" i="1"/>
  <c r="W13" i="1"/>
  <c r="AJ22" i="1"/>
  <c r="BQ21" i="1"/>
  <c r="S21" i="1"/>
  <c r="BH20" i="1"/>
  <c r="CI19" i="1"/>
  <c r="AY19" i="1"/>
  <c r="BN18" i="1"/>
  <c r="BQ17" i="1"/>
  <c r="S17" i="1"/>
  <c r="BH16" i="1"/>
  <c r="BW15" i="1"/>
  <c r="AE15" i="1"/>
  <c r="BB14" i="1"/>
  <c r="CC13" i="1"/>
  <c r="J16" i="1"/>
  <c r="BE23" i="1"/>
  <c r="AV22" i="1"/>
  <c r="AY21" i="1"/>
  <c r="AJ20" i="1"/>
  <c r="AN19" i="1"/>
  <c r="AV18" i="1"/>
  <c r="BK17" i="1"/>
  <c r="BB16" i="1"/>
  <c r="BE15" i="1"/>
  <c r="W14" i="1"/>
  <c r="AY13" i="1"/>
  <c r="AM22" i="1"/>
  <c r="AN22" i="1" s="1"/>
  <c r="J22" i="1"/>
  <c r="U21" i="1"/>
  <c r="Y20" i="1"/>
  <c r="AM18" i="1"/>
  <c r="AN18" i="1" s="1"/>
  <c r="J18" i="1"/>
  <c r="U17" i="1"/>
  <c r="Y16" i="1"/>
  <c r="AM14" i="1"/>
  <c r="AN14" i="1" s="1"/>
  <c r="J14" i="1"/>
  <c r="U13" i="1"/>
  <c r="CI23" i="1"/>
  <c r="BW23" i="1"/>
  <c r="BK23" i="1"/>
  <c r="AY23" i="1"/>
  <c r="AE23" i="1"/>
  <c r="BN22" i="1"/>
  <c r="BB22" i="1"/>
  <c r="CC21" i="1"/>
  <c r="BT20" i="1"/>
  <c r="W20" i="1"/>
  <c r="BK19" i="1"/>
  <c r="BB18" i="1"/>
  <c r="AJ18" i="1"/>
  <c r="BE17" i="1"/>
  <c r="CF16" i="1"/>
  <c r="AV16" i="1"/>
  <c r="CI15" i="1"/>
  <c r="AY15" i="1"/>
  <c r="BZ14" i="1"/>
  <c r="AJ14" i="1"/>
  <c r="BQ13" i="1"/>
  <c r="S13" i="1"/>
  <c r="U15" i="1"/>
  <c r="Y14" i="1"/>
  <c r="AN23" i="1"/>
  <c r="BH22" i="1"/>
  <c r="BK21" i="1"/>
  <c r="BB20" i="1"/>
  <c r="BQ19" i="1"/>
  <c r="BT18" i="1"/>
  <c r="BW17" i="1"/>
  <c r="BZ16" i="1"/>
  <c r="AN15" i="1"/>
  <c r="AV14" i="1"/>
  <c r="BW13" i="1"/>
  <c r="Y23" i="1"/>
  <c r="AM21" i="1"/>
  <c r="AN21" i="1" s="1"/>
  <c r="J21" i="1"/>
  <c r="U20" i="1"/>
  <c r="Y19" i="1"/>
  <c r="AM17" i="1"/>
  <c r="AN17" i="1" s="1"/>
  <c r="J17" i="1"/>
  <c r="U16" i="1"/>
  <c r="Y15" i="1"/>
  <c r="AM13" i="1"/>
  <c r="AN13" i="1" s="1"/>
  <c r="J13" i="1"/>
  <c r="CI14" i="1"/>
  <c r="BK14" i="1"/>
  <c r="AE14" i="1"/>
  <c r="BN13" i="1"/>
  <c r="AJ13" i="1"/>
  <c r="U23" i="1"/>
  <c r="Y22" i="1"/>
  <c r="J20" i="1"/>
  <c r="Y18" i="1"/>
  <c r="AM16" i="1"/>
  <c r="BQ23" i="1"/>
  <c r="CF22" i="1"/>
  <c r="CI21" i="1"/>
  <c r="AE21" i="1"/>
  <c r="S19" i="1"/>
  <c r="W18" i="1"/>
  <c r="BN16" i="1"/>
  <c r="BQ15" i="1"/>
  <c r="CF14" i="1"/>
  <c r="CI13" i="1"/>
  <c r="CF23" i="1"/>
  <c r="BT23" i="1"/>
  <c r="BH23" i="1"/>
  <c r="AV23" i="1"/>
  <c r="W23" i="1"/>
  <c r="CI22" i="1"/>
  <c r="BW22" i="1"/>
  <c r="BK22" i="1"/>
  <c r="AY22" i="1"/>
  <c r="AE22" i="1"/>
  <c r="BZ21" i="1"/>
  <c r="BN21" i="1"/>
  <c r="BB21" i="1"/>
  <c r="AJ21" i="1"/>
  <c r="CC20" i="1"/>
  <c r="BQ20" i="1"/>
  <c r="BE20" i="1"/>
  <c r="S20" i="1"/>
  <c r="CF19" i="1"/>
  <c r="BT19" i="1"/>
  <c r="BH19" i="1"/>
  <c r="AV19" i="1"/>
  <c r="W19" i="1"/>
  <c r="CI18" i="1"/>
  <c r="BW18" i="1"/>
  <c r="BK18" i="1"/>
  <c r="AY18" i="1"/>
  <c r="AE18" i="1"/>
  <c r="BZ17" i="1"/>
  <c r="BN17" i="1"/>
  <c r="BB17" i="1"/>
  <c r="AJ17" i="1"/>
  <c r="CC16" i="1"/>
  <c r="BQ16" i="1"/>
  <c r="BE16" i="1"/>
  <c r="AN16" i="1"/>
  <c r="S16" i="1"/>
  <c r="CF15" i="1"/>
  <c r="BT15" i="1"/>
  <c r="BH15" i="1"/>
  <c r="AV15" i="1"/>
  <c r="W15" i="1"/>
  <c r="BW14" i="1"/>
  <c r="AY14" i="1"/>
  <c r="BZ13" i="1"/>
  <c r="BB13" i="1"/>
  <c r="AM20" i="1"/>
  <c r="AN20" i="1" s="1"/>
  <c r="CC23" i="1"/>
  <c r="BT22" i="1"/>
  <c r="W22" i="1"/>
  <c r="BZ20" i="1"/>
  <c r="CC19" i="1"/>
  <c r="CF18" i="1"/>
  <c r="CI17" i="1"/>
  <c r="AE17" i="1"/>
  <c r="CC15" i="1"/>
  <c r="BT14" i="1"/>
  <c r="BK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<sst xmlns="http://schemas.openxmlformats.org/spreadsheetml/2006/main" count="80893" uniqueCount="44800">
  <si>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</si>
  <si>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</si>
  <si>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</si>
  <si>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</si>
  <si>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</si>
  <si>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</si>
  <si>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</si>
  <si>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</si>
  <si>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</si>
  <si>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</si>
  <si>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</si>
  <si>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</si>
  <si>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</si>
  <si>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</si>
  <si>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</si>
  <si>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</si>
  <si>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</si>
  <si>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</si>
  <si>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</si>
  <si>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</si>
  <si>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</si>
  <si>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</si>
  <si>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</si>
  <si>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</si>
  <si>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</si>
  <si>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</si>
  <si>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</si>
  <si>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</si>
  <si>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</si>
  <si>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</si>
  <si>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</si>
  <si>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</si>
  <si>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</si>
  <si>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</si>
  <si>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</si>
  <si>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</si>
  <si>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</si>
  <si>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</si>
  <si>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</si>
  <si>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</si>
  <si>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</si>
  <si>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</si>
  <si>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</si>
  <si>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</si>
  <si>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</si>
  <si>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</si>
  <si>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</si>
  <si>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</si>
  <si>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</si>
  <si>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</si>
  <si>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</si>
  <si>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</si>
  <si>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</si>
  <si>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</si>
  <si>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</si>
  <si>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</si>
  <si>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</si>
  <si>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</si>
  <si>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</si>
  <si>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</si>
  <si>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</si>
  <si>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</si>
  <si>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</si>
  <si>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</si>
  <si>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</si>
  <si>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</si>
  <si>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</si>
  <si>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</si>
  <si>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</si>
  <si>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</si>
  <si>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</si>
  <si>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</si>
  <si>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</si>
  <si>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</si>
  <si>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</si>
  <si>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</si>
  <si>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</si>
  <si>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</si>
  <si>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</si>
  <si>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</si>
  <si>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</si>
  <si>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</si>
  <si>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</si>
  <si>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</si>
  <si>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</si>
  <si>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</si>
  <si>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</si>
  <si>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</si>
  <si>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</si>
  <si>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</si>
  <si>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</si>
  <si>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</si>
  <si>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</si>
  <si>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</si>
  <si>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</si>
  <si>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</si>
  <si>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</si>
  <si>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</si>
  <si>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</si>
  <si>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</si>
  <si>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</si>
  <si>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</si>
  <si>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</si>
  <si>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</si>
  <si>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</si>
  <si>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</si>
  <si>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</si>
  <si>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</si>
  <si>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</si>
  <si>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</si>
  <si>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</si>
  <si>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</si>
  <si>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</si>
  <si>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</si>
  <si>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</si>
  <si>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</si>
  <si>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</si>
  <si>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</si>
  <si>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</si>
  <si>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</si>
  <si>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</si>
  <si>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</si>
  <si>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</si>
  <si>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</si>
  <si>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</si>
  <si>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</si>
  <si>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</si>
  <si>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</si>
  <si>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</si>
  <si>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</si>
  <si>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</si>
  <si>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</si>
  <si>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</si>
  <si>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</si>
  <si>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</si>
  <si>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</si>
  <si>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</si>
  <si>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</si>
  <si>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</si>
  <si>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</si>
  <si>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</si>
  <si>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fragrance,bath_body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</si>
  <si>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</si>
  <si>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</si>
  <si>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</si>
  <si>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</si>
  <si>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</si>
  <si>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</si>
  <si>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</si>
  <si>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</si>
  <si>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</si>
  <si>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</si>
  <si>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</si>
  <si>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</si>
  <si>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</si>
  <si>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</si>
  <si>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</si>
  <si>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</si>
  <si>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</si>
  <si>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</si>
  <si>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</si>
  <si>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</si>
  <si>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</si>
  <si>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</si>
  <si>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</si>
  <si>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</si>
  <si>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</si>
  <si>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</si>
  <si>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</si>
  <si>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</si>
  <si>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</si>
  <si>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</si>
  <si>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</si>
  <si>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</si>
  <si>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</si>
  <si>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</si>
  <si>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</si>
  <si>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</si>
  <si>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</si>
  <si>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</si>
  <si>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</si>
  <si>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</si>
  <si>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</si>
  <si>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</si>
  <si>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</si>
  <si>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</si>
  <si>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</si>
  <si>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</si>
  <si>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</si>
  <si>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</si>
  <si>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</si>
  <si>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</si>
  <si>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</si>
  <si>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</si>
  <si>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</si>
  <si>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</si>
  <si>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</si>
  <si>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</si>
  <si>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</si>
  <si>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</si>
  <si>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</si>
  <si>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</si>
  <si>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</si>
  <si>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</si>
  <si>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</si>
  <si>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</si>
  <si>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</si>
  <si>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</si>
  <si>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</si>
  <si>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</si>
  <si>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</si>
  <si>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</si>
  <si>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</si>
  <si>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</si>
  <si>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</si>
  <si>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</si>
  <si>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</si>
  <si>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</si>
  <si>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</si>
  <si>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</si>
  <si>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</si>
  <si>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</si>
  <si>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</si>
  <si>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</si>
  <si>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</si>
  <si>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</si>
  <si>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</si>
  <si>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</si>
  <si>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</si>
  <si>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</si>
  <si>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</si>
  <si>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</si>
  <si>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</si>
  <si>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</si>
  <si>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</si>
  <si>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</si>
  <si>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</si>
  <si>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</si>
  <si>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</si>
  <si>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</si>
  <si>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</si>
  <si>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</si>
  <si>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</si>
  <si>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</si>
  <si>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</si>
  <si>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</si>
  <si>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</si>
  <si>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</si>
  <si>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</si>
  <si>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</si>
  <si>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</si>
  <si>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</si>
  <si>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</si>
  <si>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</si>
  <si>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</si>
  <si>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</si>
  <si>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</si>
  <si>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</si>
  <si>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</si>
  <si>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</si>
  <si>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</si>
  <si>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</si>
  <si>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</si>
  <si>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</si>
  <si>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</si>
  <si>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</si>
  <si>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</si>
  <si>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</si>
  <si>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</si>
  <si>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</si>
  <si>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</si>
  <si>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</si>
  <si>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</si>
  <si>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</si>
  <si>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</si>
  <si>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</si>
  <si>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</si>
  <si>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</si>
  <si>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</si>
  <si>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</si>
  <si>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</si>
  <si>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</si>
  <si>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</si>
  <si>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</si>
  <si>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</si>
  <si>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</si>
  <si>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</si>
  <si>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</si>
  <si>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</si>
  <si>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</si>
  <si>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</si>
  <si>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</si>
  <si>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</si>
  <si>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</si>
  <si>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</si>
  <si>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</si>
  <si>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</si>
  <si>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</si>
  <si>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</si>
  <si>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</si>
  <si>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</si>
  <si>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</si>
  <si>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</si>
  <si>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</si>
  <si>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</si>
  <si>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</si>
  <si>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</si>
  <si>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</si>
  <si>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</si>
  <si>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</si>
  <si>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</si>
  <si>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</si>
  <si>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</si>
  <si>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</si>
  <si>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</si>
  <si>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</si>
  <si>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</si>
  <si>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</si>
  <si>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</si>
  <si>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</si>
  <si>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</si>
  <si>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</si>
  <si>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</si>
  <si>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</si>
  <si>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</si>
  <si>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</si>
  <si>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</si>
  <si>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</si>
  <si>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</si>
  <si>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</si>
  <si>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</si>
  <si>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</si>
  <si>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</si>
  <si>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</si>
  <si>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</si>
  <si>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</si>
  <si>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</si>
  <si>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</si>
  <si>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</si>
  <si>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</si>
  <si>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</si>
  <si>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</si>
  <si>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</si>
  <si>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</si>
  <si>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</si>
  <si>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</si>
  <si>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</si>
  <si>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</si>
  <si>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</si>
  <si>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</si>
  <si>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</si>
  <si>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</si>
  <si>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</si>
  <si>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</si>
  <si>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</si>
  <si>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</si>
  <si>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</si>
  <si>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</si>
  <si>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</si>
  <si>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</si>
  <si>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</si>
  <si>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</si>
  <si>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</si>
  <si>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</si>
  <si>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</si>
  <si>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</si>
  <si>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</si>
  <si>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</si>
  <si>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</si>
  <si>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</si>
  <si>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</si>
  <si>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</si>
  <si>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</si>
  <si>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</si>
  <si>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</si>
  <si>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</si>
  <si>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</si>
  <si>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</si>
  <si>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</si>
  <si>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</si>
  <si>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</si>
  <si>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</si>
  <si>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</si>
  <si>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</si>
  <si>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</si>
  <si>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</si>
  <si>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</si>
  <si>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</si>
  <si>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</si>
  <si>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</si>
  <si>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</si>
  <si>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</si>
  <si>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</si>
  <si>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</si>
  <si>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</si>
  <si>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</si>
  <si>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</si>
  <si>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</si>
  <si>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</si>
  <si>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</si>
  <si>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</si>
  <si>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</si>
  <si>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</si>
  <si>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</si>
  <si>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</si>
  <si>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</si>
  <si>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</si>
  <si>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</si>
  <si>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</si>
  <si>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</si>
  <si>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</si>
  <si>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</si>
  <si>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</si>
  <si>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</si>
  <si>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</si>
  <si>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</si>
  <si>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</si>
  <si>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</si>
  <si>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</si>
  <si>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</si>
  <si>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</si>
  <si>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</si>
  <si>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</si>
  <si>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</si>
  <si>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</si>
  <si>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</si>
  <si>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</si>
  <si>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</si>
  <si>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</si>
  <si>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</si>
  <si>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</si>
  <si>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</si>
  <si>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</si>
  <si>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</si>
  <si>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</si>
  <si>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</si>
  <si>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</si>
  <si>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</si>
  <si>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</si>
  <si>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</si>
  <si>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</si>
  <si>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</si>
  <si>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</si>
  <si>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</si>
  <si>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</si>
  <si>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</si>
  <si>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ที่โกนหนวดและขน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</si>
  <si>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</si>
  <si>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</si>
  <si>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</si>
  <si>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</si>
  <si>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</si>
  <si>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</si>
  <si>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</si>
  <si>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</si>
  <si>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</si>
  <si>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</si>
  <si>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</si>
  <si>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</si>
  <si>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</si>
  <si>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</si>
  <si>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</si>
  <si>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</si>
  <si>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</si>
  <si>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</si>
  <si>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</si>
  <si>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</si>
  <si>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</si>
  <si>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โทนเนอร์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</si>
  <si>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</si>
  <si>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</si>
  <si>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</si>
  <si>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</si>
  <si>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</si>
  <si>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</si>
  <si>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</si>
  <si>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</si>
  <si>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</si>
  <si>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</si>
  <si>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</si>
  <si>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</si>
  <si>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</si>
  <si>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</si>
  <si>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</si>
  <si>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</si>
  <si>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</si>
  <si>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</si>
  <si>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</si>
  <si>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มอยส์เจอไรเซอร์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</si>
  <si>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</si>
  <si>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</si>
  <si>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</si>
  <si>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</si>
  <si>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</si>
  <si>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</si>
  <si>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</si>
  <si>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</si>
  <si>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</si>
  <si>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</si>
  <si>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</si>
  <si>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</si>
  <si>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</si>
  <si>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</si>
  <si>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</si>
  <si>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</si>
  <si>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</si>
  <si>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ผลิตภัณฑ์บำรุงผิวหน้า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</si>
  <si>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</si>
  <si>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</si>
  <si>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</si>
  <si>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</si>
  <si>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</si>
  <si>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</si>
  <si>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</si>
  <si>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</si>
  <si>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</si>
  <si>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</si>
  <si>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</si>
  <si>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</si>
  <si>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</si>
  <si>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</si>
  <si>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</si>
  <si>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</si>
  <si>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</si>
  <si>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</si>
  <si>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</si>
  <si>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</si>
  <si>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</si>
  <si>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</si>
  <si>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</si>
  <si>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</si>
  <si>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</si>
  <si>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</si>
  <si>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</si>
  <si>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</si>
  <si>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</si>
  <si>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</si>
  <si>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</si>
  <si>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</si>
  <si>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</si>
  <si>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</si>
  <si>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</si>
  <si>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</si>
  <si>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</si>
  <si>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</si>
  <si>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</si>
  <si>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</si>
  <si>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</si>
  <si>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</si>
  <si>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</si>
  <si>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</si>
  <si>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</si>
  <si>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</si>
  <si>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</si>
  <si>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</si>
  <si>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</si>
  <si>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</si>
  <si>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</si>
  <si>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</si>
  <si>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</si>
  <si>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</si>
  <si>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</si>
  <si>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</si>
  <si>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</si>
  <si>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</si>
  <si>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</si>
  <si>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</si>
  <si>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</si>
  <si>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</si>
  <si>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</si>
  <si>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</si>
  <si>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</si>
  <si>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</si>
  <si>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</si>
  <si>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</si>
  <si>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</si>
  <si>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</si>
  <si>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</si>
  <si>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</si>
  <si>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</si>
  <si>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</si>
  <si>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</si>
  <si>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</si>
  <si>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</si>
  <si>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</si>
  <si>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</si>
  <si>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</si>
  <si>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</si>
  <si>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</si>
  <si>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</si>
  <si>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</si>
  <si>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</si>
  <si>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</si>
  <si>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</si>
  <si>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</si>
  <si>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</si>
  <si>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</si>
  <si>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</si>
  <si>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</si>
  <si>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</si>
  <si>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</si>
  <si>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</si>
  <si>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</si>
  <si>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</si>
  <si>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</si>
  <si>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</si>
  <si>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</si>
  <si>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</si>
  <si>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</si>
  <si>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</si>
  <si>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</si>
  <si>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</si>
  <si>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</si>
  <si>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</si>
  <si>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</si>
  <si>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</si>
  <si>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</si>
  <si>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</si>
  <si>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</si>
  <si>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</si>
  <si>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</si>
  <si>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</si>
  <si>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</si>
  <si>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</si>
  <si>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</si>
  <si>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</si>
  <si>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</si>
  <si>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</si>
  <si>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</si>
  <si>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</si>
  <si>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</si>
  <si>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</si>
  <si>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</si>
  <si>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</si>
  <si>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</si>
  <si>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</si>
  <si>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</si>
  <si>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</si>
  <si>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</si>
  <si>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</si>
  <si>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</si>
  <si>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</si>
  <si>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</si>
  <si>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</si>
  <si>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</si>
  <si>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</si>
  <si>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</si>
  <si>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</si>
  <si>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</si>
  <si>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</si>
  <si>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</si>
  <si>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</si>
  <si>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</si>
  <si>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</si>
  <si>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</si>
  <si>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</si>
  <si>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</si>
  <si>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</si>
  <si>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</si>
  <si>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</si>
  <si>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</si>
  <si>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</si>
  <si>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</si>
  <si>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</si>
  <si>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</si>
  <si>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</si>
  <si>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</si>
  <si>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</si>
  <si>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</si>
  <si>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</si>
  <si>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</si>
  <si>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</si>
  <si>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</si>
  <si>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</si>
  <si>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</si>
  <si>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</si>
  <si>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</si>
  <si>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</si>
  <si>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</si>
  <si>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</si>
  <si>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</si>
  <si>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</si>
  <si>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</si>
  <si>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</si>
  <si>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</si>
  <si>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</si>
  <si>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</si>
  <si>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</si>
  <si>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</si>
  <si>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</si>
  <si>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</si>
  <si>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</si>
  <si>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</si>
  <si>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</si>
  <si>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</si>
  <si>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</si>
  <si>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</si>
  <si>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</si>
  <si>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</si>
  <si>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</si>
  <si>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</si>
  <si>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</si>
  <si>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</si>
  <si>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</si>
  <si>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</si>
  <si>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</si>
  <si>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</si>
  <si>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</si>
  <si>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</si>
  <si>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</si>
  <si>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</si>
  <si>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</si>
  <si>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</si>
  <si>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</si>
  <si>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</si>
  <si>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</si>
  <si>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</si>
  <si>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</si>
  <si>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</si>
  <si>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</si>
  <si>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</si>
  <si>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</si>
  <si>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</si>
  <si>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</si>
  <si>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</si>
  <si>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</si>
  <si>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</si>
  <si>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</si>
  <si>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</si>
  <si>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</si>
  <si>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</si>
  <si>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</si>
  <si>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</si>
  <si>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</si>
  <si>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</si>
  <si>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</si>
  <si>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</si>
  <si>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</si>
  <si>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</si>
  <si>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</si>
  <si>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</si>
  <si>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</si>
  <si>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</si>
  <si>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</si>
  <si>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</si>
  <si>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</si>
  <si>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</si>
  <si>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</si>
  <si>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</si>
  <si>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</si>
  <si>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</si>
  <si>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</si>
  <si>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</si>
  <si>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</si>
  <si>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</si>
  <si>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</si>
  <si>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</si>
  <si>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</si>
  <si>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</si>
  <si>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</si>
  <si>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</si>
  <si>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</si>
  <si>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</si>
  <si>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</si>
  <si>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</si>
  <si>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</si>
  <si>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</si>
  <si>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</si>
  <si>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</si>
  <si>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</si>
  <si>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</si>
  <si>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</si>
  <si>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</si>
  <si>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</si>
  <si>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</si>
  <si>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</si>
  <si>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</si>
  <si>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</si>
  <si>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</si>
  <si>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</si>
  <si>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</si>
  <si>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</si>
  <si>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</si>
  <si>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</si>
  <si>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</si>
  <si>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</si>
  <si>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</si>
  <si>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</si>
  <si>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</si>
  <si>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</si>
  <si>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</si>
  <si>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</si>
  <si>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</si>
  <si>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</si>
  <si>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</si>
  <si>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</si>
  <si>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</si>
  <si>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</si>
  <si>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</si>
  <si>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</si>
  <si>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</si>
  <si>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</si>
  <si>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</si>
  <si>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</si>
  <si>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</si>
  <si>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</si>
  <si>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</si>
  <si>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</si>
  <si>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</si>
  <si>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</si>
  <si>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</si>
  <si>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</si>
  <si>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</si>
  <si>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</si>
  <si>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</si>
  <si>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</si>
  <si>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</si>
  <si>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</si>
  <si>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</si>
  <si>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</si>
  <si>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</si>
  <si>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</si>
  <si>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</si>
  <si>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</si>
  <si>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</si>
  <si>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</si>
  <si>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</si>
  <si>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</si>
  <si>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</si>
  <si>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</si>
  <si>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</si>
  <si>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</si>
  <si>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</si>
  <si>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</si>
  <si>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</si>
  <si>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</si>
  <si>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</si>
  <si>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</si>
  <si>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</si>
  <si>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</si>
  <si>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</si>
  <si>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</si>
  <si>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</si>
  <si>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</si>
  <si>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</si>
  <si>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</si>
  <si>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</si>
  <si>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</si>
  <si>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</si>
  <si>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</si>
  <si>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</si>
  <si>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</si>
  <si>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</si>
  <si>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</si>
  <si>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</si>
  <si>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</si>
  <si>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</si>
  <si>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</si>
  <si>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</si>
  <si>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</si>
  <si>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</si>
  <si>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</si>
  <si>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</si>
  <si>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</si>
  <si>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</si>
  <si>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</si>
  <si>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</si>
  <si>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</si>
  <si>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</si>
  <si>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</si>
  <si>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</si>
  <si>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</si>
  <si>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</si>
  <si>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</si>
  <si>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</si>
  <si>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</si>
  <si>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</si>
  <si>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</si>
  <si>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</si>
  <si>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</si>
  <si>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</si>
  <si>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</si>
  <si>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</si>
  <si>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</si>
  <si>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</si>
  <si>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</si>
  <si>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</si>
  <si>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</si>
  <si>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</si>
  <si>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</si>
  <si>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</si>
  <si>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</si>
  <si>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</si>
  <si>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</si>
  <si>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</si>
  <si>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</si>
  <si>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</si>
  <si>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</si>
  <si>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</si>
  <si>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</si>
  <si>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</si>
  <si>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</si>
  <si>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</si>
  <si>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</si>
  <si>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</si>
  <si>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</si>
  <si>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</si>
  <si>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</si>
  <si>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</si>
  <si>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</si>
  <si>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</si>
  <si>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</si>
  <si>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</si>
  <si>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</si>
  <si>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</si>
  <si>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</si>
  <si>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</si>
  <si>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</si>
  <si>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</si>
  <si>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</si>
  <si>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</si>
  <si>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</si>
  <si>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</si>
  <si>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</si>
  <si>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</si>
  <si>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</si>
  <si>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</si>
  <si>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</si>
  <si>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</si>
  <si>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</si>
  <si>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</si>
  <si>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</si>
  <si>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</si>
  <si>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</si>
  <si>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</si>
  <si>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</si>
  <si>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</si>
  <si>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</si>
  <si>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</si>
  <si>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</si>
  <si>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</si>
  <si>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</si>
  <si>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</si>
  <si>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</si>
  <si>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</si>
  <si>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</si>
  <si>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</si>
  <si>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</si>
  <si>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</si>
  <si>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</si>
  <si>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</si>
  <si>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</si>
  <si>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</si>
  <si>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</si>
  <si>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</si>
  <si>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</si>
  <si>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</si>
  <si>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</si>
  <si>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</si>
  <si>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</si>
  <si>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</si>
  <si>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</si>
  <si>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</si>
  <si>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</si>
  <si>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</si>
  <si>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</si>
  <si>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</si>
  <si>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</si>
  <si>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</si>
  <si>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</si>
  <si>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</si>
  <si>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</si>
  <si>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</si>
  <si>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</si>
  <si>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</si>
  <si>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</si>
  <si>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</si>
  <si>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</si>
  <si>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</si>
  <si>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</si>
  <si>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</si>
  <si>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</si>
  <si>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</si>
  <si>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</si>
  <si>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</si>
  <si>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</si>
  <si>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</si>
  <si>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</si>
  <si>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</si>
  <si>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</si>
  <si>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</si>
  <si>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</si>
  <si>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</si>
  <si>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</si>
  <si>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</si>
  <si>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</si>
  <si>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</si>
  <si>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</si>
  <si>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</si>
  <si>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</si>
  <si>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</si>
  <si>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</si>
  <si>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</si>
  <si>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</si>
  <si>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</si>
  <si>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</si>
  <si>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</si>
  <si>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</si>
  <si>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</si>
  <si>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</si>
  <si>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</si>
  <si>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</si>
  <si>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</si>
  <si>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</si>
  <si>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</si>
  <si>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</si>
  <si>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</si>
  <si>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</si>
  <si>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</si>
  <si>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</si>
  <si>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</si>
  <si>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</si>
  <si>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</si>
  <si>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</si>
  <si>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</si>
  <si>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</si>
  <si>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</si>
  <si>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</si>
  <si>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</si>
  <si>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</si>
  <si>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</si>
  <si>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</si>
  <si>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</si>
  <si>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</si>
  <si>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</si>
  <si>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</si>
  <si>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</si>
  <si>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</si>
  <si>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</si>
  <si>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</si>
  <si>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</si>
  <si>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</si>
  <si>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</si>
  <si>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</si>
  <si>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</si>
  <si>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</si>
  <si>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</si>
  <si>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</si>
  <si>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</si>
  <si>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</si>
  <si>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</si>
  <si>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</si>
  <si>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</si>
  <si>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</si>
  <si>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</si>
  <si>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</si>
  <si>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</si>
  <si>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</si>
  <si>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</si>
  <si>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</si>
  <si>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</si>
  <si>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</si>
  <si>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</si>
  <si>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</si>
  <si>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</si>
  <si>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</si>
  <si>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</si>
  <si>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</si>
  <si>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</si>
  <si>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</si>
  <si>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</si>
  <si>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</si>
  <si>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</si>
  <si>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</si>
  <si>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</si>
  <si>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</si>
  <si>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</si>
  <si>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</si>
  <si>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</si>
  <si>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</si>
  <si>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</si>
  <si>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</si>
  <si>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</si>
  <si>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</si>
  <si>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</si>
  <si>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</si>
  <si>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</si>
  <si>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</si>
  <si>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</si>
  <si>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</si>
  <si>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</si>
  <si>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</si>
  <si>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</si>
  <si>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</si>
  <si>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</si>
  <si>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</si>
  <si>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</si>
  <si>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</si>
  <si>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</si>
  <si>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</si>
  <si>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</si>
  <si>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</si>
  <si>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</si>
  <si>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</si>
  <si>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</si>
  <si>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</si>
  <si>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</si>
  <si>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</si>
  <si>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</si>
  <si>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</si>
  <si>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</si>
  <si>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</si>
  <si>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</si>
  <si>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</si>
  <si>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</si>
  <si>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</si>
  <si>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</si>
  <si>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</si>
  <si>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</si>
  <si>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</si>
  <si>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</si>
  <si>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</si>
  <si>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</si>
  <si>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</si>
  <si>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</si>
  <si>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</si>
  <si>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</si>
  <si>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</si>
  <si>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</si>
  <si>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</si>
  <si>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</si>
  <si>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</si>
  <si>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</si>
  <si>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</si>
  <si>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</si>
  <si>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</si>
  <si>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</si>
  <si>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</si>
  <si>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</si>
  <si>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</si>
  <si>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</si>
  <si>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</si>
  <si>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</si>
  <si>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</si>
  <si>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</si>
  <si>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</si>
  <si>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</si>
  <si>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</si>
  <si>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</si>
  <si>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</si>
  <si>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</si>
  <si>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</si>
  <si>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</si>
  <si>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</si>
  <si>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</si>
  <si>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</si>
  <si>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</si>
  <si>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</si>
  <si>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</si>
  <si>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</si>
  <si>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</si>
  <si>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</si>
  <si>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</si>
  <si>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</si>
  <si>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</si>
  <si>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</si>
  <si>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</si>
  <si>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</si>
  <si>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</si>
  <si>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</si>
  <si>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</si>
  <si>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</si>
  <si>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</si>
  <si>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</si>
  <si>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</si>
  <si>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</si>
  <si>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</si>
  <si>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</si>
  <si>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</si>
  <si>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</si>
  <si>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</si>
  <si>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</si>
  <si>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</si>
  <si>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</si>
  <si>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</si>
  <si>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</si>
  <si>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</si>
  <si>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</si>
  <si>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</si>
  <si>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</si>
  <si>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</si>
  <si>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</si>
  <si>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</si>
  <si>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</si>
  <si>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</si>
  <si>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</si>
  <si>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</si>
  <si>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</si>
  <si>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</si>
  <si>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</si>
  <si>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</si>
  <si>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</si>
  <si>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</si>
  <si>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</si>
  <si>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</si>
  <si>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</si>
  <si>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</si>
  <si>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</si>
  <si>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</si>
  <si>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</si>
  <si>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</si>
  <si>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</si>
  <si>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</si>
  <si>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</si>
  <si>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</si>
  <si>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</si>
  <si>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</si>
  <si>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</si>
  <si>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</si>
  <si>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</si>
  <si>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</si>
  <si>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</si>
  <si>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</si>
  <si>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</si>
  <si>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</si>
  <si>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</si>
  <si>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</si>
  <si>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</si>
  <si>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</si>
  <si>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</si>
  <si>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</si>
  <si>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</si>
  <si>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</si>
  <si>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</si>
  <si>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</si>
  <si>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</si>
  <si>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</si>
  <si>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</si>
  <si>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</si>
  <si>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</si>
  <si>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</si>
  <si>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</si>
  <si>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</si>
  <si>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</si>
  <si>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</si>
  <si>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</si>
  <si>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</si>
  <si>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</si>
  <si>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</si>
  <si>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</si>
  <si>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</si>
  <si>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</si>
  <si>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</si>
  <si>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</si>
  <si>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</si>
  <si>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</si>
  <si>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</si>
  <si>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</si>
  <si>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</si>
  <si>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</si>
  <si>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</si>
  <si>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</si>
  <si>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</si>
  <si>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</si>
  <si>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</si>
  <si>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</si>
  <si>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</si>
  <si>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</si>
  <si>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</si>
  <si>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</si>
  <si>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</si>
  <si>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</si>
  <si>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</si>
  <si>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</si>
  <si>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</si>
  <si>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</si>
  <si>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</si>
  <si>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</si>
  <si>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</si>
  <si>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</si>
  <si>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</si>
  <si>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</si>
  <si>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</si>
  <si>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</si>
  <si>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</si>
  <si>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</si>
  <si>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</si>
  <si>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</si>
  <si>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</si>
  <si>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</si>
  <si>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</si>
  <si>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</si>
  <si>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</si>
  <si>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</si>
  <si>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</si>
  <si>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</si>
  <si>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</si>
  <si>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</si>
  <si>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</si>
  <si>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</si>
  <si>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</si>
  <si>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</si>
  <si>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</si>
  <si>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</si>
  <si>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</si>
  <si>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</si>
  <si>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</si>
  <si>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</si>
  <si>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</si>
  <si>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</si>
  <si>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</si>
  <si>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</si>
  <si>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</si>
  <si>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</si>
  <si>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</si>
  <si>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</si>
  <si>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</si>
  <si>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</si>
  <si>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</si>
  <si>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</si>
  <si>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</si>
  <si>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</si>
  <si>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</si>
  <si>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</si>
  <si>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</si>
  <si>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</si>
  <si>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</si>
  <si>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</si>
  <si>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</si>
  <si>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</si>
  <si>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</si>
  <si>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</si>
  <si>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</si>
  <si>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</si>
  <si>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</si>
  <si>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</si>
  <si>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</si>
  <si>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</si>
  <si>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</si>
  <si>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</si>
  <si>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</si>
  <si>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</si>
  <si>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</si>
  <si>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</si>
  <si>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</si>
  <si>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</si>
  <si>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</si>
  <si>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</si>
  <si>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</si>
  <si>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</si>
  <si>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</si>
  <si>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</si>
  <si>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</si>
  <si>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</si>
  <si>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</si>
  <si>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</si>
  <si>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</si>
  <si>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</si>
  <si>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</si>
  <si>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</si>
  <si>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</si>
  <si>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</si>
  <si>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</si>
  <si>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</si>
  <si>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</si>
  <si>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</si>
  <si>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</si>
  <si>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</si>
  <si>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</si>
  <si>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</si>
  <si>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</si>
  <si>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</si>
  <si>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</si>
  <si>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</si>
  <si>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</si>
  <si>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</si>
  <si>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</si>
  <si>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</si>
  <si>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</si>
  <si>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</si>
  <si>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</si>
  <si>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</si>
  <si>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</si>
  <si>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</si>
  <si>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</si>
  <si>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</si>
  <si>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</si>
  <si>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</si>
  <si>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</si>
  <si>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</si>
  <si>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</si>
  <si>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</si>
  <si>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</si>
  <si>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</si>
  <si>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</si>
  <si>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</si>
  <si>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</si>
  <si>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</si>
  <si>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</si>
  <si>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</si>
  <si>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</si>
  <si>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</si>
  <si>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</si>
  <si>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</si>
  <si>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</si>
  <si>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</si>
  <si>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</si>
  <si>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</si>
  <si>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</si>
  <si>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</si>
  <si>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</si>
  <si>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</si>
  <si>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</si>
  <si>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</si>
  <si>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</si>
  <si>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</si>
  <si>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</si>
  <si>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</si>
  <si>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</si>
  <si>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</si>
  <si>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</si>
  <si>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</si>
  <si>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</si>
  <si>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</si>
  <si>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</si>
  <si>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</si>
  <si>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</si>
  <si>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</si>
  <si>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</si>
  <si>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</si>
  <si>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</si>
  <si>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</si>
  <si>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</si>
  <si>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</si>
  <si>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</si>
  <si>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</si>
  <si>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</si>
  <si>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</si>
  <si>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</si>
  <si>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</si>
  <si>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</si>
  <si>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</si>
  <si>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</si>
  <si>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</si>
  <si>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</si>
  <si>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</si>
  <si>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</si>
  <si>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</si>
  <si>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</si>
  <si>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</si>
  <si>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</si>
  <si>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</si>
  <si>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</si>
  <si>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</si>
  <si>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</si>
  <si>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</si>
  <si>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</si>
  <si>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</si>
  <si>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</si>
  <si>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</si>
  <si>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</si>
  <si>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</si>
  <si>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</si>
  <si>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</si>
  <si>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</si>
  <si>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</si>
  <si>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</si>
  <si>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</si>
  <si>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</si>
  <si>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</si>
  <si>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</si>
  <si>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</si>
  <si>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</si>
  <si>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</si>
  <si>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</si>
  <si>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</si>
  <si>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</si>
  <si>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</si>
  <si>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</si>
  <si>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</si>
  <si>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</si>
  <si>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</si>
  <si>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</si>
  <si>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</si>
  <si>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</si>
  <si>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</si>
  <si>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</si>
  <si>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</si>
  <si>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</si>
  <si>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</si>
  <si>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</si>
  <si>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</si>
  <si>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</si>
  <si>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</si>
  <si>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</si>
  <si>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</si>
  <si>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</si>
  <si>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</si>
  <si>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</si>
  <si>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</si>
  <si>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</si>
  <si>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</si>
  <si>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</si>
  <si>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</si>
  <si>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</si>
  <si>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</si>
  <si>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</si>
  <si>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</si>
  <si>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</si>
  <si>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</si>
  <si>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</si>
  <si>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</si>
  <si>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</si>
  <si>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</si>
  <si>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</si>
  <si>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</si>
  <si>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</si>
  <si>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</si>
  <si>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</si>
  <si>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</si>
  <si>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</si>
  <si>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</si>
  <si>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</si>
  <si>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</si>
  <si>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</si>
  <si>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</si>
  <si>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</si>
  <si>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</si>
  <si>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</si>
  <si>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</si>
  <si>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</si>
  <si>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</si>
  <si>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</si>
  <si>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</si>
  <si>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</si>
  <si>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</si>
  <si>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</si>
  <si>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</si>
  <si>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</si>
  <si>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</si>
  <si>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</si>
  <si>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</si>
  <si>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</si>
  <si>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</si>
  <si>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</si>
  <si>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</si>
  <si>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</si>
  <si>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</si>
  <si>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</si>
  <si>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</si>
  <si>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</si>
  <si>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</si>
  <si>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</si>
  <si>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</si>
  <si>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</si>
  <si>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</si>
  <si>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</si>
  <si>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</si>
  <si>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</si>
  <si>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</si>
  <si>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</si>
  <si>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</si>
  <si>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</si>
  <si>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</si>
  <si>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</si>
  <si>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</si>
  <si>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</si>
  <si>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</si>
  <si>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</si>
  <si>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</si>
  <si>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</si>
  <si>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</si>
  <si>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</si>
  <si>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</si>
  <si>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</si>
  <si>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</si>
  <si>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</si>
  <si>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</si>
  <si>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</si>
  <si>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</si>
  <si>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</si>
  <si>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</si>
  <si>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</si>
  <si>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</si>
  <si>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</si>
  <si>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</si>
  <si>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</si>
  <si>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</si>
  <si>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</si>
  <si>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</si>
  <si>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</si>
  <si>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</si>
  <si>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</si>
  <si>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</si>
  <si>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</si>
  <si>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</si>
  <si>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</si>
  <si>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</si>
  <si>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</si>
  <si>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</si>
  <si>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</si>
  <si>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</si>
  <si>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</si>
  <si>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</si>
  <si>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</si>
  <si>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</si>
  <si>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</si>
  <si>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</si>
  <si>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</si>
  <si>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</si>
  <si>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</si>
  <si>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</si>
  <si>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</si>
  <si>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</si>
  <si>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</si>
  <si>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</si>
  <si>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</si>
  <si>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</si>
  <si>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</si>
  <si>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</si>
  <si>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</si>
  <si>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</si>
  <si>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</si>
  <si>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</si>
  <si>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</si>
  <si>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</si>
  <si>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</si>
  <si>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</si>
  <si>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</si>
  <si>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</si>
  <si>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</si>
  <si>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</si>
  <si>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</si>
  <si>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</si>
  <si>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</si>
  <si>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</si>
  <si>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</si>
  <si>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</si>
  <si>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</si>
  <si>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</si>
  <si>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</si>
  <si>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</si>
  <si>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</si>
  <si>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</si>
  <si>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</si>
  <si>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</si>
  <si>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</si>
  <si>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</si>
  <si>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</si>
  <si>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</si>
  <si>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</si>
  <si>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</si>
  <si>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</si>
  <si>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</si>
  <si>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</si>
  <si>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</si>
  <si>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</si>
  <si>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</si>
  <si>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</si>
  <si>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</si>
  <si>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</si>
  <si>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</si>
  <si>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</si>
  <si>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</si>
  <si>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</si>
  <si>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</si>
  <si>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</si>
  <si>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</si>
  <si>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</si>
  <si>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</si>
  <si>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</si>
  <si>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</si>
  <si>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</si>
  <si>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</si>
  <si>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</si>
  <si>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</si>
  <si>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</si>
  <si>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</si>
  <si>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</si>
  <si>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</si>
  <si>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</si>
  <si>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</si>
  <si>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</si>
  <si>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</si>
  <si>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</si>
  <si>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</si>
  <si>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</si>
  <si>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</si>
  <si>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</si>
  <si>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</si>
  <si>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</si>
  <si>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</si>
  <si>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</si>
  <si>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</si>
  <si>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</si>
  <si>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</si>
  <si>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</si>
  <si>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</si>
  <si>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</si>
  <si>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</si>
  <si>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</si>
  <si>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</si>
  <si>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</si>
  <si>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</si>
  <si>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</si>
  <si>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</si>
  <si>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</si>
  <si>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</si>
  <si>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</si>
  <si>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</si>
  <si>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</si>
  <si>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</si>
  <si>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</si>
  <si>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</si>
  <si>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</si>
  <si>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</si>
  <si>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</si>
  <si>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</si>
  <si>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</si>
  <si>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</si>
  <si>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</si>
  <si>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</si>
  <si>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</si>
  <si>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</si>
  <si>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</si>
  <si>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</si>
  <si>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</si>
  <si>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</si>
  <si>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</si>
  <si>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</si>
  <si>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</si>
  <si>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</si>
  <si>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</si>
  <si>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</si>
  <si>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</si>
  <si>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</si>
  <si>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</si>
  <si>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</si>
  <si>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</si>
  <si>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</si>
  <si>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</si>
  <si>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</si>
  <si>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</si>
  <si>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</si>
  <si>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</si>
  <si>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</si>
  <si>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</si>
  <si>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</si>
  <si>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</si>
  <si>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</si>
  <si>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</si>
  <si>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</si>
  <si>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</si>
  <si>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</si>
  <si>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</si>
  <si>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</si>
  <si>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</si>
  <si>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</si>
  <si>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</si>
  <si>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</si>
  <si>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</si>
  <si>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</si>
  <si>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</si>
  <si>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</si>
  <si>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</si>
  <si>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</si>
  <si>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</si>
  <si>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</si>
  <si>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</si>
  <si>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</si>
  <si>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</si>
  <si>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</si>
  <si>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</si>
  <si>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</si>
  <si>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</si>
  <si>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</si>
  <si>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</si>
  <si>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</si>
  <si>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</si>
  <si>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</si>
  <si>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</si>
  <si>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</si>
  <si>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</si>
  <si>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</si>
  <si>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</si>
  <si>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</si>
  <si>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</si>
  <si>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</si>
  <si>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</si>
  <si>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</si>
  <si>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</si>
  <si>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</si>
  <si>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</si>
  <si>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</si>
  <si>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</si>
  <si>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</si>
  <si>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</si>
  <si>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</si>
  <si>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</si>
  <si>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</si>
  <si>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</si>
  <si>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</si>
  <si>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</si>
  <si>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</si>
  <si>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</si>
  <si>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</si>
  <si>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</si>
  <si>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</si>
  <si>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</si>
  <si>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</si>
  <si>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</si>
  <si>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</si>
  <si>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</si>
  <si>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</si>
  <si>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</si>
  <si>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</si>
  <si>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</si>
  <si>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</si>
  <si>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</si>
  <si>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</si>
  <si>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</si>
  <si>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</si>
  <si>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</si>
  <si>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</si>
  <si>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</si>
  <si>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</si>
  <si>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</si>
  <si>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</si>
  <si>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</si>
  <si>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</si>
  <si>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</si>
  <si>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</si>
  <si>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</si>
  <si>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</si>
  <si>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</si>
  <si>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</si>
  <si>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</si>
  <si>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</si>
  <si>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</si>
  <si>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</si>
  <si>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</si>
  <si>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</si>
  <si>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</si>
  <si>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</si>
  <si>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</si>
  <si>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</si>
  <si>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</si>
  <si>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</si>
  <si>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</si>
  <si>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</si>
  <si>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</si>
  <si>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</si>
  <si>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</si>
  <si>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</si>
  <si>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</si>
  <si>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</si>
  <si>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</si>
  <si>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</si>
  <si>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</si>
  <si>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</si>
  <si>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</si>
  <si>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</si>
  <si>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</si>
  <si>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</si>
  <si>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</si>
  <si>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</si>
  <si>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</si>
  <si>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</si>
  <si>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</si>
  <si>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</si>
  <si>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</si>
  <si>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</si>
  <si>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</si>
  <si>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</si>
  <si>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</si>
  <si>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</si>
  <si>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</si>
  <si>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</si>
  <si>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</si>
  <si>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</si>
  <si>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</si>
  <si>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</si>
  <si>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</si>
  <si>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</si>
  <si>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</si>
  <si>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</si>
  <si>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</si>
  <si>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</si>
  <si>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</si>
  <si>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</si>
  <si>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</si>
  <si>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</si>
  <si>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</si>
  <si>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</si>
  <si>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</si>
  <si>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</si>
  <si>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</si>
  <si>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</si>
  <si>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</si>
  <si>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</si>
  <si>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</si>
  <si>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</si>
  <si>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</si>
  <si>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</si>
  <si>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</si>
  <si>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</si>
  <si>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</si>
  <si>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</si>
  <si>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</si>
  <si>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</si>
  <si>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</si>
  <si>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</si>
  <si>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</si>
  <si>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</si>
  <si>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</si>
  <si>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</si>
  <si>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</si>
  <si>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</si>
  <si>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</si>
  <si>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</si>
  <si>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</si>
  <si>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</si>
  <si>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</si>
  <si>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</si>
  <si>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</si>
  <si>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</si>
  <si>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</si>
  <si>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</si>
  <si>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</si>
  <si>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</si>
  <si>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</si>
  <si>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</si>
  <si>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</si>
  <si>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</si>
  <si>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</si>
  <si>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</si>
  <si>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</si>
  <si>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</si>
  <si>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</si>
  <si>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</si>
  <si>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</si>
  <si>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</si>
  <si>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</si>
  <si>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</si>
  <si>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</si>
  <si>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</si>
  <si>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</si>
  <si>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</si>
  <si>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</si>
  <si>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</si>
  <si>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</si>
  <si>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</si>
  <si>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</si>
  <si>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</si>
  <si>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</si>
  <si>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</si>
  <si>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</si>
  <si>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</si>
  <si>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</si>
  <si>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</si>
  <si>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</si>
  <si>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</si>
  <si>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</si>
  <si>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</si>
  <si>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</si>
  <si>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</si>
  <si>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</si>
  <si>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</si>
  <si>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</si>
  <si>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</si>
  <si>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</si>
  <si>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</si>
  <si>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</si>
  <si>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</si>
  <si>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</si>
  <si>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</si>
  <si>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</si>
  <si>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</si>
  <si>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</si>
  <si>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</si>
  <si>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</si>
  <si>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</si>
  <si>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</si>
  <si>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</si>
  <si>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</si>
  <si>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</si>
  <si>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</si>
  <si>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</si>
  <si>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</si>
  <si>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</si>
  <si>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</si>
  <si>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</si>
  <si>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</si>
  <si>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</si>
  <si>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</si>
  <si>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</si>
  <si>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</si>
  <si>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</si>
  <si>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</si>
  <si>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</si>
  <si>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</si>
  <si>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</si>
  <si>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</si>
  <si>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</si>
  <si>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</si>
  <si>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</si>
  <si>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</si>
  <si>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</si>
  <si>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</si>
  <si>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</si>
  <si>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</si>
  <si>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</si>
  <si>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</si>
  <si>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</si>
  <si>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</si>
  <si>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</si>
  <si>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</si>
  <si>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</si>
  <si>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</si>
  <si>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</si>
  <si>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</si>
  <si>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</si>
  <si>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</si>
  <si>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</si>
  <si>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</si>
  <si>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</si>
  <si>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</si>
  <si>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</si>
  <si>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</si>
  <si>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</si>
  <si>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</si>
  <si>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</si>
  <si>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</si>
  <si>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</si>
  <si>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</si>
  <si>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</si>
  <si>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</si>
  <si>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</si>
  <si>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</si>
  <si>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</si>
  <si>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</si>
  <si>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</si>
  <si>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</si>
  <si>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</si>
  <si>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</si>
  <si>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</si>
  <si>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</si>
  <si>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</si>
  <si>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</si>
  <si>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</si>
  <si>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</si>
  <si>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</si>
  <si>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</si>
  <si>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</si>
  <si>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</si>
  <si>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</si>
  <si>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</si>
  <si>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</si>
  <si>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</si>
  <si>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</si>
  <si>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</si>
  <si>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</si>
  <si>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</si>
  <si>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</si>
  <si>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</si>
  <si>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</si>
  <si>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</si>
  <si>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</si>
  <si>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</si>
  <si>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</si>
  <si>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</si>
  <si>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</si>
  <si>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</si>
  <si>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</si>
  <si>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</si>
  <si>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</si>
  <si>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</si>
  <si>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</si>
  <si>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</si>
  <si>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</si>
  <si>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</si>
  <si>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</si>
  <si>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</si>
  <si>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</si>
  <si>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</si>
  <si>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</si>
  <si>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</si>
  <si>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</si>
  <si>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</si>
  <si>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</si>
  <si>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</si>
  <si>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</si>
  <si>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</si>
  <si>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</si>
  <si>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</si>
  <si>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</si>
  <si>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</si>
  <si>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</si>
  <si>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</si>
  <si>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</si>
  <si>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</si>
  <si>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</si>
  <si>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</si>
  <si>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</si>
  <si>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</si>
  <si>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</si>
  <si>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</si>
  <si>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</si>
  <si>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</si>
  <si>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</si>
  <si>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</si>
  <si>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</si>
  <si>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</si>
  <si>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</si>
  <si>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</si>
  <si>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</si>
  <si>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</si>
  <si>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</si>
  <si>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</si>
  <si>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</si>
  <si>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</si>
  <si>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</si>
  <si>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</si>
  <si>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</si>
  <si>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</si>
  <si>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</si>
  <si>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</si>
  <si>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</si>
  <si>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</si>
  <si>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</si>
  <si>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</si>
  <si>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</si>
  <si>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</si>
  <si>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</si>
  <si>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</si>
  <si>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</si>
  <si>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</si>
  <si>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</si>
  <si>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</si>
  <si>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</si>
  <si>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</si>
  <si>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</si>
  <si>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</si>
  <si>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</si>
  <si>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</si>
  <si>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</si>
  <si>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</si>
  <si>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</si>
  <si>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</si>
  <si>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</si>
  <si>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</si>
  <si>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</si>
  <si>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</si>
  <si>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</si>
  <si>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</si>
  <si>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</si>
  <si>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</si>
  <si>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</si>
  <si>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</si>
  <si>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</si>
  <si>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</si>
  <si>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</si>
  <si>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</si>
  <si>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</si>
  <si>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</si>
  <si>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</si>
  <si>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</si>
  <si>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</si>
  <si>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</si>
  <si>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</si>
  <si>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</si>
  <si>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</si>
  <si>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</si>
  <si>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</si>
  <si>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</si>
  <si>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</si>
  <si>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</si>
  <si>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</si>
  <si>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</si>
  <si>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</si>
  <si>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</si>
  <si>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</si>
  <si>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</si>
  <si>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</si>
  <si>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</si>
  <si>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</si>
  <si>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</si>
  <si>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</si>
  <si>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</si>
  <si>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</si>
  <si>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</si>
  <si>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</si>
  <si>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</si>
  <si>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</si>
  <si>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</si>
  <si>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</si>
  <si>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</si>
  <si>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</si>
  <si>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</si>
  <si>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</si>
  <si>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</si>
  <si>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</si>
  <si>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</si>
  <si>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</si>
  <si>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</si>
  <si>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</si>
  <si>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</si>
  <si>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</si>
  <si>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</si>
  <si>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</si>
  <si>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</si>
  <si>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</si>
  <si>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</si>
  <si>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</si>
  <si>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</si>
  <si>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</si>
  <si>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</si>
  <si>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</si>
  <si>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</si>
  <si>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</si>
  <si>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</si>
  <si>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</si>
  <si>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</si>
  <si>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</si>
  <si>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</si>
  <si>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</si>
  <si>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</si>
  <si>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</si>
  <si>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</si>
  <si>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</si>
  <si>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</si>
  <si>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</si>
  <si>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</si>
  <si>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</si>
  <si>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</si>
  <si>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</si>
  <si>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</si>
  <si>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</si>
  <si>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</si>
  <si>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</si>
  <si>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</si>
  <si>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</si>
  <si>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</si>
  <si>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</si>
  <si>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</si>
  <si>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</si>
  <si>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</si>
  <si>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</si>
  <si>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</si>
  <si>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</si>
  <si>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</si>
  <si>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</si>
  <si>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</si>
  <si>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</si>
  <si>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</si>
  <si>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</si>
  <si>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</si>
  <si>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</si>
  <si>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</si>
  <si>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</si>
  <si>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</si>
  <si>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</si>
  <si>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</si>
  <si>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</si>
  <si>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</si>
  <si>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</si>
  <si>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</si>
  <si>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</si>
  <si>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</si>
  <si>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</si>
  <si>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</si>
  <si>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</si>
  <si>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</si>
  <si>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</si>
  <si>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</si>
  <si>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</si>
  <si>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</si>
  <si>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</si>
  <si>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</si>
  <si>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</si>
  <si>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</si>
  <si>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</si>
  <si>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</si>
  <si>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</si>
  <si>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</si>
  <si>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</si>
  <si>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</si>
  <si>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</si>
  <si>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</si>
  <si>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</si>
  <si>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</si>
  <si>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</si>
  <si>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</si>
  <si>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</si>
  <si>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</si>
  <si>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</si>
  <si>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</si>
  <si>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</si>
  <si>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</si>
  <si>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</si>
  <si>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</si>
  <si>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</si>
  <si>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</si>
  <si>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</si>
  <si>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</si>
  <si>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</si>
  <si>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</si>
  <si>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</si>
  <si>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</si>
  <si>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</si>
  <si>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</si>
  <si>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</si>
  <si>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</si>
  <si>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</si>
  <si>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</si>
  <si>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</si>
  <si>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</si>
  <si>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</si>
  <si>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</si>
  <si>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</si>
  <si>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</si>
  <si>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</si>
  <si>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</si>
  <si>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</si>
  <si>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</si>
  <si>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</si>
  <si>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</si>
  <si>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</si>
  <si>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</si>
  <si>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</si>
  <si>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</si>
  <si>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</si>
  <si>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</si>
  <si>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</si>
  <si>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</si>
  <si>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</si>
  <si>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</si>
  <si>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</si>
  <si>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</si>
  <si>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</si>
  <si>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</si>
  <si>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</si>
  <si>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</si>
  <si>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</si>
  <si>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</si>
  <si>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</si>
  <si>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</si>
  <si>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</si>
  <si>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</si>
  <si>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</si>
  <si>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</si>
  <si>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</si>
  <si>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</si>
  <si>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</si>
  <si>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</si>
  <si>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</si>
  <si>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</si>
  <si>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</si>
  <si>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</si>
  <si>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</si>
  <si>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</si>
  <si>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</si>
  <si>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</si>
  <si>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</si>
  <si>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</si>
  <si>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</si>
  <si>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</si>
  <si>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</si>
  <si>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</si>
  <si>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</si>
  <si>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</si>
  <si>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</si>
  <si>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</si>
  <si>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</si>
  <si>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</si>
  <si>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</si>
  <si>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</si>
  <si>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</si>
  <si>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</si>
  <si>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</si>
  <si>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</si>
  <si>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</si>
  <si>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</si>
  <si>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</si>
  <si>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</si>
  <si>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</si>
  <si>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</si>
  <si>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</si>
  <si>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</si>
  <si>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</si>
  <si>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</si>
  <si>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</si>
  <si>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</si>
  <si>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</si>
  <si>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</si>
  <si>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</si>
  <si>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</si>
  <si>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</si>
  <si>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</si>
  <si>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</si>
  <si>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</si>
  <si>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</si>
  <si>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</si>
  <si>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</si>
  <si>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</si>
  <si>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</si>
  <si>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</si>
  <si>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</si>
  <si>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</si>
  <si>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</si>
  <si>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</si>
  <si>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</si>
  <si>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</si>
  <si>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</si>
  <si>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</si>
  <si>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</si>
  <si>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</si>
  <si>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</si>
  <si>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</si>
  <si>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</si>
  <si>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</si>
  <si>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</si>
  <si>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</si>
  <si>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</si>
  <si>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</si>
  <si>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</si>
  <si>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</si>
  <si>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</si>
  <si>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</si>
  <si>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</si>
  <si>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</si>
  <si>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</si>
  <si>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</si>
  <si>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</si>
  <si>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</si>
  <si>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</si>
  <si>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</si>
  <si>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</si>
  <si>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</si>
  <si>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</si>
  <si>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</si>
  <si>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</si>
  <si>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</si>
  <si>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</si>
  <si>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</si>
  <si>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</si>
  <si>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</si>
  <si>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</si>
  <si>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</si>
  <si>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</si>
  <si>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</si>
  <si>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</si>
  <si>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</si>
  <si>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</si>
  <si>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</si>
  <si>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</si>
  <si>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</si>
  <si>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</si>
  <si>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</si>
  <si>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</si>
  <si>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</si>
  <si>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</si>
  <si>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</si>
  <si>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</si>
  <si>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</si>
  <si>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</si>
  <si>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</si>
  <si>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</si>
  <si>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</si>
  <si>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</si>
  <si>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</si>
  <si>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</si>
  <si>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</si>
  <si>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</si>
  <si>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</si>
  <si>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</si>
  <si>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</si>
  <si>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</si>
  <si>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</si>
  <si>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</si>
  <si>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</si>
  <si>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</si>
  <si>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</si>
  <si>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</si>
  <si>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</si>
  <si>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</si>
  <si>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</si>
  <si>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</si>
  <si>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</si>
  <si>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</si>
  <si>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</si>
  <si>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</si>
  <si>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</si>
  <si>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</si>
  <si>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</si>
  <si>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</si>
  <si>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</si>
  <si>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</si>
  <si>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</si>
  <si>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</si>
  <si>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</si>
  <si>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</si>
  <si>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</si>
  <si>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</si>
  <si>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</si>
  <si>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</si>
  <si>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</si>
  <si>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</si>
  <si>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</si>
  <si>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</si>
  <si>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</si>
  <si>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</si>
  <si>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</si>
  <si>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</si>
  <si>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</si>
  <si>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</si>
  <si>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</si>
  <si>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</si>
  <si>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</si>
  <si>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</si>
  <si>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</si>
  <si>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</si>
  <si>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</si>
  <si>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</si>
  <si>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</si>
  <si>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</si>
  <si>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</si>
  <si>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</si>
  <si>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</si>
  <si>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</si>
  <si>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</si>
  <si>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</si>
  <si>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</si>
  <si>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</si>
  <si>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</si>
  <si>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</si>
  <si>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</si>
  <si>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</si>
  <si>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</si>
  <si>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</si>
  <si>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</si>
  <si>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</si>
  <si>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</si>
  <si>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</si>
  <si>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</si>
  <si>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</si>
  <si>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</si>
  <si>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</si>
  <si>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</si>
  <si>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</si>
  <si>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</si>
  <si>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</si>
  <si>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</si>
  <si>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</si>
  <si>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</si>
  <si>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</si>
  <si>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</si>
  <si>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</si>
  <si>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</si>
  <si>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</si>
  <si>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</si>
  <si>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</si>
  <si>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</si>
  <si>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</si>
  <si>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</si>
  <si>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</si>
  <si>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</si>
  <si>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</si>
  <si>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</si>
  <si>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</si>
  <si>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</si>
  <si>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</si>
  <si>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</si>
  <si>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</si>
  <si>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</si>
  <si>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</si>
  <si>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</si>
  <si>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</si>
  <si>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</si>
  <si>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</si>
  <si>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</si>
  <si>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</si>
  <si>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</si>
  <si>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</si>
  <si>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</si>
  <si>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</si>
  <si>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</si>
  <si>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</si>
  <si>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</si>
  <si>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</si>
  <si>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</si>
  <si>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</si>
  <si>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</si>
  <si>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</si>
  <si>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</si>
  <si>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</si>
  <si>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</si>
  <si>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</si>
  <si>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</si>
  <si>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</si>
  <si>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</si>
  <si>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</si>
  <si>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</si>
  <si>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</si>
  <si>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</si>
  <si>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</si>
  <si>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</si>
  <si>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</si>
  <si>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</si>
  <si>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</si>
  <si>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</si>
  <si>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</si>
  <si>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</si>
  <si>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</si>
  <si>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</si>
  <si>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</si>
  <si>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</si>
  <si>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</si>
  <si>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</si>
  <si>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</si>
  <si>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</si>
  <si>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</si>
  <si>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</si>
  <si>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</si>
  <si>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</si>
  <si>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</si>
  <si>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</si>
  <si>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</si>
  <si>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</si>
  <si>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</si>
  <si>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</si>
  <si>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</si>
  <si>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</si>
  <si>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</si>
  <si>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</si>
  <si>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</si>
  <si>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</si>
  <si>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</si>
  <si>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</si>
  <si>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</si>
  <si>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</si>
  <si>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</si>
  <si>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</si>
  <si>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</si>
  <si>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</si>
  <si>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</si>
  <si>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</si>
  <si>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</si>
  <si>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</si>
  <si>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</si>
  <si>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</si>
  <si>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</si>
  <si>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</si>
  <si>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</si>
  <si>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</si>
  <si>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</si>
  <si>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</si>
  <si>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</si>
  <si>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</si>
  <si>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</si>
  <si>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</si>
  <si>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</si>
  <si>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</si>
  <si>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</si>
  <si>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</si>
  <si>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</si>
  <si>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</si>
  <si>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</si>
  <si>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</si>
  <si>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</si>
  <si>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</si>
  <si>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</si>
  <si>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</si>
  <si>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</si>
  <si>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</si>
  <si>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</si>
  <si>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</si>
  <si>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</si>
  <si>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</si>
  <si>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</si>
  <si>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</si>
  <si>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</si>
  <si>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</si>
  <si>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</si>
  <si>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</si>
  <si>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</si>
  <si>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</si>
  <si>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</si>
  <si>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</si>
  <si>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</si>
  <si>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</si>
  <si>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</si>
  <si>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</si>
  <si>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</si>
  <si>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</si>
  <si>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</si>
  <si>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</si>
  <si>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</si>
  <si>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</si>
  <si>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</si>
  <si>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</si>
  <si>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</si>
  <si>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</si>
  <si>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</si>
  <si>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</si>
  <si>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</si>
  <si>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</si>
  <si>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</si>
  <si>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</si>
  <si>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</si>
  <si>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</si>
  <si>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</si>
  <si>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</si>
  <si>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</si>
  <si>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</si>
  <si>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</si>
  <si>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</si>
  <si>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</si>
  <si>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</si>
  <si>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</si>
  <si>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</si>
  <si>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</si>
  <si>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</si>
  <si>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</si>
  <si>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</si>
  <si>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</si>
  <si>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</si>
  <si>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</si>
  <si>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</si>
  <si>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</si>
  <si>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</si>
  <si>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</si>
  <si>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</si>
  <si>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</si>
  <si>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</si>
  <si>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</si>
  <si>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</si>
  <si>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</si>
  <si>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</si>
  <si>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</si>
  <si>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</si>
  <si>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</si>
  <si>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</si>
  <si>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</si>
  <si>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</si>
  <si>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chanel</t>
  </si>
  <si>
    <t>10138_Nongjok</t>
  </si>
  <si>
    <t>template</t>
  </si>
  <si>
    <t>fragrance,bath_body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</si>
  <si>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</si>
  <si>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</si>
  <si>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</si>
  <si>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</si>
  <si>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</si>
  <si>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</si>
  <si>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</si>
  <si>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</si>
  <si>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10:50:19</t>
  </si>
  <si>
    <t>author</t>
  </si>
  <si>
    <t>system</t>
  </si>
  <si>
    <t>track_id</t>
  </si>
  <si>
    <t>20230526105016388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</si>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</sst>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23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23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23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23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23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23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23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23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23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23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23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23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23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23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23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23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23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23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chanel</v>
      </c>
      <c r="DN13" s="13" t="str">
        <f t="shared" ref="DN13:DN23" si="17">"Normal"</f>
        <v>Normal</v>
      </c>
      <c r="DO13" s="13" t="str">
        <f t="shared" ref="DO13:DO23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chanel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chanel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chanel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chanel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chanel</v>
      </c>
      <c r="DN18" s="13" t="str">
        <f t="shared" si="17"/>
        <v>Normal</v>
      </c>
      <c r="DO18" s="13" t="str">
        <f t="shared" si="18"/>
        <v>No</v>
      </c>
    </row>
    <row r="19" spans="1:119" x14ac:dyDescent="0.25">
      <c r="A19" s="13">
        <f t="shared" si="0"/>
        <v>7</v>
      </c>
      <c r="J19" s="13" t="str">
        <f ca="1">IF(INDIRECT(ADDRESS(ROW(), COLUMN()-1))="", "", IFERROR(VLOOKUP(INDIRECT(ADDRESS(ROW(), COLUMN()-1)), LOOKUP_SHEET!C:D, 2, 0), "Incorrect"))</f>
        <v/>
      </c>
      <c r="S19" s="13" t="str">
        <f ca="1">IF(INDIRECT(ADDRESS(ROW(), COLUMN()-1))="", "", IFERROR(VLOOKUP(INDIRECT(ADDRESS(ROW(), COLUMN()-1)), LOOKUP_SHEET!C:D, 2, 0), "Incorrect"))</f>
        <v/>
      </c>
      <c r="U19" s="13" t="str">
        <f ca="1">IF(INDIRECT(ADDRESS(ROW(), COLUMN()-1))="", "", IFERROR(VLOOKUP(INDIRECT(ADDRESS(ROW(), COLUMN()-1)), LOOKUP_SHEET!C:D, 2, 0), "Incorrect"))</f>
        <v/>
      </c>
      <c r="W19" s="13" t="str">
        <f ca="1">IF(INDIRECT(ADDRESS(ROW(), COLUMN()-1))="", "", IFERROR(VLOOKUP(INDIRECT(ADDRESS(ROW(), COLUMN()-1)), LOOKUP_SHEET!C:D, 2, 0), "Incorrect"))</f>
        <v/>
      </c>
      <c r="Y19" s="13" t="str">
        <f ca="1">IF(INDIRECT(ADDRESS(ROW(), COLUMN()-1))="", "", IFERROR(VLOOKUP(INDIRECT(ADDRESS(ROW(), COLUMN()-1)), LOOKUP_SHEET!C:D, 2, 0), "Incorrect"))</f>
        <v/>
      </c>
      <c r="AE19" s="13" t="str">
        <f t="shared" ca="1" si="1"/>
        <v/>
      </c>
      <c r="AH19" s="13" t="str">
        <f t="shared" si="2"/>
        <v>EA</v>
      </c>
      <c r="AJ19" s="13" t="str">
        <f ca="1">IF(INDIRECT(ADDRESS(ROW(), COLUMN()+1))="", "", IFERROR(VLOOKUP(INDIRECT(ADDRESS(ROW(), COLUMN()+1)), LOOKUP_SHEET!C:D, 2, 0), "Incorrect"))</f>
        <v/>
      </c>
      <c r="AM19" s="13" t="str">
        <f ca="1">IF(INDIRECT(ADDRESS(ROW(), COLUMN()-1))="", "", IFERROR(VLOOKUP(INDIRECT(ADDRESS(ROW(), COLUMN()-1)), LOOKUP_SHEET!C:D, 2, 0), "Incorrect"))</f>
        <v/>
      </c>
      <c r="AN19" s="13" t="str">
        <f ca="1">IF(INDIRECT(ADDRESS(ROW(), COLUMN()-1))="", "", IFERROR(VLOOKUP(INDIRECT(ADDRESS(ROW(), COLUMN()-1)), LOOKUP_SHEET!C:D, 2, 0), "Incorrect"))</f>
        <v/>
      </c>
      <c r="AT19" s="13" t="str">
        <f t="shared" si="3"/>
        <v>1SEASO</v>
      </c>
      <c r="AV19" s="13" t="str">
        <f ca="1">IF(INDIRECT(ADDRESS(ROW(), COLUMN()-1))="", "", IFERROR(VLOOKUP(INDIRECT(ADDRESS(ROW(), COLUMN()-1)), LOOKUP_SHEET!C:D, 2, 0), "Incorrect"))</f>
        <v/>
      </c>
      <c r="AW19" s="13" t="str">
        <f t="shared" si="4"/>
        <v>3TYPE</v>
      </c>
      <c r="AY19" s="13" t="str">
        <f ca="1">IF(INDIRECT(ADDRESS(ROW(), COLUMN()-1))="", "", IFERROR(VLOOKUP(INDIRECT(ADDRESS(ROW(), COLUMN()-1)), LOOKUP_SHEET!C:D, 2, 0), "Incorrect"))</f>
        <v/>
      </c>
      <c r="AZ19" s="13" t="str">
        <f t="shared" si="5"/>
        <v>6CHARA</v>
      </c>
      <c r="BB19" s="13" t="str">
        <f ca="1">IF(INDIRECT(ADDRESS(ROW(), COLUMN()-1))="", "", IFERROR(VLOOKUP(INDIRECT(ADDRESS(ROW(), COLUMN()-1)), LOOKUP_SHEET!C:D, 2, 0), "Incorrect"))</f>
        <v/>
      </c>
      <c r="BC19" s="13" t="str">
        <f t="shared" si="6"/>
        <v>4SCATE</v>
      </c>
      <c r="BE19" s="13" t="str">
        <f ca="1">IF(INDIRECT(ADDRESS(ROW(), COLUMN()-1))="", "", IFERROR(VLOOKUP(INDIRECT(ADDRESS(ROW(), COLUMN()-1)), LOOKUP_SHEET!C:D, 2, 0), "Incorrect"))</f>
        <v/>
      </c>
      <c r="BF19" s="13" t="str">
        <f t="shared" si="7"/>
        <v>2GENDE</v>
      </c>
      <c r="BH19" s="13" t="str">
        <f ca="1">IF(INDIRECT(ADDRESS(ROW(), COLUMN()-1))="", "", IFERROR(VLOOKUP(INDIRECT(ADDRESS(ROW(), COLUMN()-1)), LOOKUP_SHEET!C:D, 2, 0), "Incorrect"))</f>
        <v/>
      </c>
      <c r="BI19" s="13" t="str">
        <f t="shared" si="8"/>
        <v>5COLLE</v>
      </c>
      <c r="BK19" s="13" t="str">
        <f ca="1">IF(INDIRECT(ADDRESS(ROW(), COLUMN()-1))="", "", IFERROR(VLOOKUP(INDIRECT(ADDRESS(ROW(), COLUMN()-1)), LOOKUP_SHEET!C:D, 2, 0), "Incorrect"))</f>
        <v/>
      </c>
      <c r="BL19" s="13" t="str">
        <f t="shared" si="9"/>
        <v>7DESIG</v>
      </c>
      <c r="BN19" s="13" t="str">
        <f ca="1">IF(INDIRECT(ADDRESS(ROW(), COLUMN()-1))="", "", IFERROR(VLOOKUP(INDIRECT(ADDRESS(ROW(), COLUMN()-1)), LOOKUP_SHEET!C:D, 2, 0), "Incorrect"))</f>
        <v/>
      </c>
      <c r="BO19" s="13" t="str">
        <f t="shared" si="10"/>
        <v>10MATE</v>
      </c>
      <c r="BQ19" s="13" t="str">
        <f ca="1">IF(INDIRECT(ADDRESS(ROW(), COLUMN()-1))="", "", IFERROR(VLOOKUP(INDIRECT(ADDRESS(ROW(), COLUMN()-1)), LOOKUP_SHEET!C:D, 2, 0), "Incorrect"))</f>
        <v/>
      </c>
      <c r="BR19" s="13" t="str">
        <f t="shared" si="11"/>
        <v>8SHAP1</v>
      </c>
      <c r="BT19" s="13" t="str">
        <f ca="1">IF(INDIRECT(ADDRESS(ROW(), COLUMN()-1))="", "", IFERROR(VLOOKUP(INDIRECT(ADDRESS(ROW(), COLUMN()-1)), LOOKUP_SHEET!C:D, 2, 0), "Incorrect"))</f>
        <v/>
      </c>
      <c r="BU19" s="13" t="str">
        <f t="shared" si="12"/>
        <v>9SHAP2</v>
      </c>
      <c r="BW19" s="13" t="str">
        <f ca="1">IF(INDIRECT(ADDRESS(ROW(), COLUMN()-1))="", "", IFERROR(VLOOKUP(INDIRECT(ADDRESS(ROW(), COLUMN()-1)), LOOKUP_SHEET!C:D, 2, 0), "Incorrect"))</f>
        <v/>
      </c>
      <c r="BX19" s="13" t="str">
        <f t="shared" si="13"/>
        <v>11LENG</v>
      </c>
      <c r="BZ19" s="13" t="str">
        <f ca="1">IF(INDIRECT(ADDRESS(ROW(), COLUMN()-1))="", "", IFERROR(VLOOKUP(INDIRECT(ADDRESS(ROW(), COLUMN()-1)), LOOKUP_SHEET!C:D, 2, 0), "Incorrect"))</f>
        <v/>
      </c>
      <c r="CA19" s="13" t="str">
        <f t="shared" si="14"/>
        <v>12NECK</v>
      </c>
      <c r="CC19" s="13" t="str">
        <f ca="1">IF(INDIRECT(ADDRESS(ROW(), COLUMN()-1))="", "", IFERROR(VLOOKUP(INDIRECT(ADDRESS(ROW(), COLUMN()-1)), LOOKUP_SHEET!C:D, 2, 0), "Incorrect"))</f>
        <v/>
      </c>
      <c r="CD19" s="13" t="str">
        <f t="shared" si="15"/>
        <v>13THRE</v>
      </c>
      <c r="CF19" s="13" t="str">
        <f ca="1">IF(INDIRECT(ADDRESS(ROW(), COLUMN()-1))="", "", IFERROR(VLOOKUP(INDIRECT(ADDRESS(ROW(), COLUMN()-1)), LOOKUP_SHEET!C:D, 2, 0), "Incorrect"))</f>
        <v/>
      </c>
      <c r="CG19" s="13" t="str">
        <f t="shared" si="16"/>
        <v>14OTHE</v>
      </c>
      <c r="CI19" s="13" t="str">
        <f ca="1">IF(INDIRECT(ADDRESS(ROW(), COLUMN()-1))="", "", IFERROR(VLOOKUP(INDIRECT(ADDRESS(ROW(), COLUMN()-1)), LOOKUP_SHEET!C:D, 2, 0), "Incorrect"))</f>
        <v/>
      </c>
      <c r="CT19" s="13" t="str">
        <f>IN_LINK_DATA!B2</f>
        <v>chanel</v>
      </c>
      <c r="DN19" s="13" t="str">
        <f t="shared" si="17"/>
        <v>Normal</v>
      </c>
      <c r="DO19" s="13" t="str">
        <f t="shared" si="18"/>
        <v>No</v>
      </c>
    </row>
    <row r="20" spans="1:119" x14ac:dyDescent="0.25">
      <c r="A20" s="13">
        <f t="shared" si="0"/>
        <v>8</v>
      </c>
      <c r="J20" s="13" t="str">
        <f ca="1">IF(INDIRECT(ADDRESS(ROW(), COLUMN()-1))="", "", IFERROR(VLOOKUP(INDIRECT(ADDRESS(ROW(), COLUMN()-1)), LOOKUP_SHEET!C:D, 2, 0), "Incorrect"))</f>
        <v/>
      </c>
      <c r="S20" s="13" t="str">
        <f ca="1">IF(INDIRECT(ADDRESS(ROW(), COLUMN()-1))="", "", IFERROR(VLOOKUP(INDIRECT(ADDRESS(ROW(), COLUMN()-1)), LOOKUP_SHEET!C:D, 2, 0), "Incorrect"))</f>
        <v/>
      </c>
      <c r="U20" s="13" t="str">
        <f ca="1">IF(INDIRECT(ADDRESS(ROW(), COLUMN()-1))="", "", IFERROR(VLOOKUP(INDIRECT(ADDRESS(ROW(), COLUMN()-1)), LOOKUP_SHEET!C:D, 2, 0), "Incorrect"))</f>
        <v/>
      </c>
      <c r="W20" s="13" t="str">
        <f ca="1">IF(INDIRECT(ADDRESS(ROW(), COLUMN()-1))="", "", IFERROR(VLOOKUP(INDIRECT(ADDRESS(ROW(), COLUMN()-1)), LOOKUP_SHEET!C:D, 2, 0), "Incorrect"))</f>
        <v/>
      </c>
      <c r="Y20" s="13" t="str">
        <f ca="1">IF(INDIRECT(ADDRESS(ROW(), COLUMN()-1))="", "", IFERROR(VLOOKUP(INDIRECT(ADDRESS(ROW(), COLUMN()-1)), LOOKUP_SHEET!C:D, 2, 0), "Incorrect"))</f>
        <v/>
      </c>
      <c r="AE20" s="13" t="str">
        <f t="shared" ca="1" si="1"/>
        <v/>
      </c>
      <c r="AH20" s="13" t="str">
        <f t="shared" si="2"/>
        <v>EA</v>
      </c>
      <c r="AJ20" s="13" t="str">
        <f ca="1">IF(INDIRECT(ADDRESS(ROW(), COLUMN()+1))="", "", IFERROR(VLOOKUP(INDIRECT(ADDRESS(ROW(), COLUMN()+1)), LOOKUP_SHEET!C:D, 2, 0), "Incorrect"))</f>
        <v/>
      </c>
      <c r="AM20" s="13" t="str">
        <f ca="1">IF(INDIRECT(ADDRESS(ROW(), COLUMN()-1))="", "", IFERROR(VLOOKUP(INDIRECT(ADDRESS(ROW(), COLUMN()-1)), LOOKUP_SHEET!C:D, 2, 0), "Incorrect"))</f>
        <v/>
      </c>
      <c r="AN20" s="13" t="str">
        <f ca="1">IF(INDIRECT(ADDRESS(ROW(), COLUMN()-1))="", "", IFERROR(VLOOKUP(INDIRECT(ADDRESS(ROW(), COLUMN()-1)), LOOKUP_SHEET!C:D, 2, 0), "Incorrect"))</f>
        <v/>
      </c>
      <c r="AT20" s="13" t="str">
        <f t="shared" si="3"/>
        <v>1SEASO</v>
      </c>
      <c r="AV20" s="13" t="str">
        <f ca="1">IF(INDIRECT(ADDRESS(ROW(), COLUMN()-1))="", "", IFERROR(VLOOKUP(INDIRECT(ADDRESS(ROW(), COLUMN()-1)), LOOKUP_SHEET!C:D, 2, 0), "Incorrect"))</f>
        <v/>
      </c>
      <c r="AW20" s="13" t="str">
        <f t="shared" si="4"/>
        <v>3TYPE</v>
      </c>
      <c r="AY20" s="13" t="str">
        <f ca="1">IF(INDIRECT(ADDRESS(ROW(), COLUMN()-1))="", "", IFERROR(VLOOKUP(INDIRECT(ADDRESS(ROW(), COLUMN()-1)), LOOKUP_SHEET!C:D, 2, 0), "Incorrect"))</f>
        <v/>
      </c>
      <c r="AZ20" s="13" t="str">
        <f t="shared" si="5"/>
        <v>6CHARA</v>
      </c>
      <c r="BB20" s="13" t="str">
        <f ca="1">IF(INDIRECT(ADDRESS(ROW(), COLUMN()-1))="", "", IFERROR(VLOOKUP(INDIRECT(ADDRESS(ROW(), COLUMN()-1)), LOOKUP_SHEET!C:D, 2, 0), "Incorrect"))</f>
        <v/>
      </c>
      <c r="BC20" s="13" t="str">
        <f t="shared" si="6"/>
        <v>4SCATE</v>
      </c>
      <c r="BE20" s="13" t="str">
        <f ca="1">IF(INDIRECT(ADDRESS(ROW(), COLUMN()-1))="", "", IFERROR(VLOOKUP(INDIRECT(ADDRESS(ROW(), COLUMN()-1)), LOOKUP_SHEET!C:D, 2, 0), "Incorrect"))</f>
        <v/>
      </c>
      <c r="BF20" s="13" t="str">
        <f t="shared" si="7"/>
        <v>2GENDE</v>
      </c>
      <c r="BH20" s="13" t="str">
        <f ca="1">IF(INDIRECT(ADDRESS(ROW(), COLUMN()-1))="", "", IFERROR(VLOOKUP(INDIRECT(ADDRESS(ROW(), COLUMN()-1)), LOOKUP_SHEET!C:D, 2, 0), "Incorrect"))</f>
        <v/>
      </c>
      <c r="BI20" s="13" t="str">
        <f t="shared" si="8"/>
        <v>5COLLE</v>
      </c>
      <c r="BK20" s="13" t="str">
        <f ca="1">IF(INDIRECT(ADDRESS(ROW(), COLUMN()-1))="", "", IFERROR(VLOOKUP(INDIRECT(ADDRESS(ROW(), COLUMN()-1)), LOOKUP_SHEET!C:D, 2, 0), "Incorrect"))</f>
        <v/>
      </c>
      <c r="BL20" s="13" t="str">
        <f t="shared" si="9"/>
        <v>7DESIG</v>
      </c>
      <c r="BN20" s="13" t="str">
        <f ca="1">IF(INDIRECT(ADDRESS(ROW(), COLUMN()-1))="", "", IFERROR(VLOOKUP(INDIRECT(ADDRESS(ROW(), COLUMN()-1)), LOOKUP_SHEET!C:D, 2, 0), "Incorrect"))</f>
        <v/>
      </c>
      <c r="BO20" s="13" t="str">
        <f t="shared" si="10"/>
        <v>10MATE</v>
      </c>
      <c r="BQ20" s="13" t="str">
        <f ca="1">IF(INDIRECT(ADDRESS(ROW(), COLUMN()-1))="", "", IFERROR(VLOOKUP(INDIRECT(ADDRESS(ROW(), COLUMN()-1)), LOOKUP_SHEET!C:D, 2, 0), "Incorrect"))</f>
        <v/>
      </c>
      <c r="BR20" s="13" t="str">
        <f t="shared" si="11"/>
        <v>8SHAP1</v>
      </c>
      <c r="BT20" s="13" t="str">
        <f ca="1">IF(INDIRECT(ADDRESS(ROW(), COLUMN()-1))="", "", IFERROR(VLOOKUP(INDIRECT(ADDRESS(ROW(), COLUMN()-1)), LOOKUP_SHEET!C:D, 2, 0), "Incorrect"))</f>
        <v/>
      </c>
      <c r="BU20" s="13" t="str">
        <f t="shared" si="12"/>
        <v>9SHAP2</v>
      </c>
      <c r="BW20" s="13" t="str">
        <f ca="1">IF(INDIRECT(ADDRESS(ROW(), COLUMN()-1))="", "", IFERROR(VLOOKUP(INDIRECT(ADDRESS(ROW(), COLUMN()-1)), LOOKUP_SHEET!C:D, 2, 0), "Incorrect"))</f>
        <v/>
      </c>
      <c r="BX20" s="13" t="str">
        <f t="shared" si="13"/>
        <v>11LENG</v>
      </c>
      <c r="BZ20" s="13" t="str">
        <f ca="1">IF(INDIRECT(ADDRESS(ROW(), COLUMN()-1))="", "", IFERROR(VLOOKUP(INDIRECT(ADDRESS(ROW(), COLUMN()-1)), LOOKUP_SHEET!C:D, 2, 0), "Incorrect"))</f>
        <v/>
      </c>
      <c r="CA20" s="13" t="str">
        <f t="shared" si="14"/>
        <v>12NECK</v>
      </c>
      <c r="CC20" s="13" t="str">
        <f ca="1">IF(INDIRECT(ADDRESS(ROW(), COLUMN()-1))="", "", IFERROR(VLOOKUP(INDIRECT(ADDRESS(ROW(), COLUMN()-1)), LOOKUP_SHEET!C:D, 2, 0), "Incorrect"))</f>
        <v/>
      </c>
      <c r="CD20" s="13" t="str">
        <f t="shared" si="15"/>
        <v>13THRE</v>
      </c>
      <c r="CF20" s="13" t="str">
        <f ca="1">IF(INDIRECT(ADDRESS(ROW(), COLUMN()-1))="", "", IFERROR(VLOOKUP(INDIRECT(ADDRESS(ROW(), COLUMN()-1)), LOOKUP_SHEET!C:D, 2, 0), "Incorrect"))</f>
        <v/>
      </c>
      <c r="CG20" s="13" t="str">
        <f t="shared" si="16"/>
        <v>14OTHE</v>
      </c>
      <c r="CI20" s="13" t="str">
        <f ca="1">IF(INDIRECT(ADDRESS(ROW(), COLUMN()-1))="", "", IFERROR(VLOOKUP(INDIRECT(ADDRESS(ROW(), COLUMN()-1)), LOOKUP_SHEET!C:D, 2, 0), "Incorrect"))</f>
        <v/>
      </c>
      <c r="CT20" s="13" t="str">
        <f>IN_LINK_DATA!B2</f>
        <v>chanel</v>
      </c>
      <c r="DN20" s="13" t="str">
        <f t="shared" si="17"/>
        <v>Normal</v>
      </c>
      <c r="DO20" s="13" t="str">
        <f t="shared" si="18"/>
        <v>No</v>
      </c>
    </row>
    <row r="21" spans="1:119" x14ac:dyDescent="0.25">
      <c r="A21" s="13">
        <f t="shared" si="0"/>
        <v>9</v>
      </c>
      <c r="J21" s="13" t="str">
        <f ca="1">IF(INDIRECT(ADDRESS(ROW(), COLUMN()-1))="", "", IFERROR(VLOOKUP(INDIRECT(ADDRESS(ROW(), COLUMN()-1)), LOOKUP_SHEET!C:D, 2, 0), "Incorrect"))</f>
        <v/>
      </c>
      <c r="S21" s="13" t="str">
        <f ca="1">IF(INDIRECT(ADDRESS(ROW(), COLUMN()-1))="", "", IFERROR(VLOOKUP(INDIRECT(ADDRESS(ROW(), COLUMN()-1)), LOOKUP_SHEET!C:D, 2, 0), "Incorrect"))</f>
        <v/>
      </c>
      <c r="U21" s="13" t="str">
        <f ca="1">IF(INDIRECT(ADDRESS(ROW(), COLUMN()-1))="", "", IFERROR(VLOOKUP(INDIRECT(ADDRESS(ROW(), COLUMN()-1)), LOOKUP_SHEET!C:D, 2, 0), "Incorrect"))</f>
        <v/>
      </c>
      <c r="W21" s="13" t="str">
        <f ca="1">IF(INDIRECT(ADDRESS(ROW(), COLUMN()-1))="", "", IFERROR(VLOOKUP(INDIRECT(ADDRESS(ROW(), COLUMN()-1)), LOOKUP_SHEET!C:D, 2, 0), "Incorrect"))</f>
        <v/>
      </c>
      <c r="Y21" s="13" t="str">
        <f ca="1">IF(INDIRECT(ADDRESS(ROW(), COLUMN()-1))="", "", IFERROR(VLOOKUP(INDIRECT(ADDRESS(ROW(), COLUMN()-1)), LOOKUP_SHEET!C:D, 2, 0), "Incorrect"))</f>
        <v/>
      </c>
      <c r="AE21" s="13" t="str">
        <f t="shared" ca="1" si="1"/>
        <v/>
      </c>
      <c r="AH21" s="13" t="str">
        <f t="shared" si="2"/>
        <v>EA</v>
      </c>
      <c r="AJ21" s="13" t="str">
        <f ca="1">IF(INDIRECT(ADDRESS(ROW(), COLUMN()+1))="", "", IFERROR(VLOOKUP(INDIRECT(ADDRESS(ROW(), COLUMN()+1)), LOOKUP_SHEET!C:D, 2, 0), "Incorrect"))</f>
        <v/>
      </c>
      <c r="AM21" s="13" t="str">
        <f ca="1">IF(INDIRECT(ADDRESS(ROW(), COLUMN()-1))="", "", IFERROR(VLOOKUP(INDIRECT(ADDRESS(ROW(), COLUMN()-1)), LOOKUP_SHEET!C:D, 2, 0), "Incorrect"))</f>
        <v/>
      </c>
      <c r="AN21" s="13" t="str">
        <f ca="1">IF(INDIRECT(ADDRESS(ROW(), COLUMN()-1))="", "", IFERROR(VLOOKUP(INDIRECT(ADDRESS(ROW(), COLUMN()-1)), LOOKUP_SHEET!C:D, 2, 0), "Incorrect"))</f>
        <v/>
      </c>
      <c r="AT21" s="13" t="str">
        <f t="shared" si="3"/>
        <v>1SEASO</v>
      </c>
      <c r="AV21" s="13" t="str">
        <f ca="1">IF(INDIRECT(ADDRESS(ROW(), COLUMN()-1))="", "", IFERROR(VLOOKUP(INDIRECT(ADDRESS(ROW(), COLUMN()-1)), LOOKUP_SHEET!C:D, 2, 0), "Incorrect"))</f>
        <v/>
      </c>
      <c r="AW21" s="13" t="str">
        <f t="shared" si="4"/>
        <v>3TYPE</v>
      </c>
      <c r="AY21" s="13" t="str">
        <f ca="1">IF(INDIRECT(ADDRESS(ROW(), COLUMN()-1))="", "", IFERROR(VLOOKUP(INDIRECT(ADDRESS(ROW(), COLUMN()-1)), LOOKUP_SHEET!C:D, 2, 0), "Incorrect"))</f>
        <v/>
      </c>
      <c r="AZ21" s="13" t="str">
        <f t="shared" si="5"/>
        <v>6CHARA</v>
      </c>
      <c r="BB21" s="13" t="str">
        <f ca="1">IF(INDIRECT(ADDRESS(ROW(), COLUMN()-1))="", "", IFERROR(VLOOKUP(INDIRECT(ADDRESS(ROW(), COLUMN()-1)), LOOKUP_SHEET!C:D, 2, 0), "Incorrect"))</f>
        <v/>
      </c>
      <c r="BC21" s="13" t="str">
        <f t="shared" si="6"/>
        <v>4SCATE</v>
      </c>
      <c r="BE21" s="13" t="str">
        <f ca="1">IF(INDIRECT(ADDRESS(ROW(), COLUMN()-1))="", "", IFERROR(VLOOKUP(INDIRECT(ADDRESS(ROW(), COLUMN()-1)), LOOKUP_SHEET!C:D, 2, 0), "Incorrect"))</f>
        <v/>
      </c>
      <c r="BF21" s="13" t="str">
        <f t="shared" si="7"/>
        <v>2GENDE</v>
      </c>
      <c r="BH21" s="13" t="str">
        <f ca="1">IF(INDIRECT(ADDRESS(ROW(), COLUMN()-1))="", "", IFERROR(VLOOKUP(INDIRECT(ADDRESS(ROW(), COLUMN()-1)), LOOKUP_SHEET!C:D, 2, 0), "Incorrect"))</f>
        <v/>
      </c>
      <c r="BI21" s="13" t="str">
        <f t="shared" si="8"/>
        <v>5COLLE</v>
      </c>
      <c r="BK21" s="13" t="str">
        <f ca="1">IF(INDIRECT(ADDRESS(ROW(), COLUMN()-1))="", "", IFERROR(VLOOKUP(INDIRECT(ADDRESS(ROW(), COLUMN()-1)), LOOKUP_SHEET!C:D, 2, 0), "Incorrect"))</f>
        <v/>
      </c>
      <c r="BL21" s="13" t="str">
        <f t="shared" si="9"/>
        <v>7DESIG</v>
      </c>
      <c r="BN21" s="13" t="str">
        <f ca="1">IF(INDIRECT(ADDRESS(ROW(), COLUMN()-1))="", "", IFERROR(VLOOKUP(INDIRECT(ADDRESS(ROW(), COLUMN()-1)), LOOKUP_SHEET!C:D, 2, 0), "Incorrect"))</f>
        <v/>
      </c>
      <c r="BO21" s="13" t="str">
        <f t="shared" si="10"/>
        <v>10MATE</v>
      </c>
      <c r="BQ21" s="13" t="str">
        <f ca="1">IF(INDIRECT(ADDRESS(ROW(), COLUMN()-1))="", "", IFERROR(VLOOKUP(INDIRECT(ADDRESS(ROW(), COLUMN()-1)), LOOKUP_SHEET!C:D, 2, 0), "Incorrect"))</f>
        <v/>
      </c>
      <c r="BR21" s="13" t="str">
        <f t="shared" si="11"/>
        <v>8SHAP1</v>
      </c>
      <c r="BT21" s="13" t="str">
        <f ca="1">IF(INDIRECT(ADDRESS(ROW(), COLUMN()-1))="", "", IFERROR(VLOOKUP(INDIRECT(ADDRESS(ROW(), COLUMN()-1)), LOOKUP_SHEET!C:D, 2, 0), "Incorrect"))</f>
        <v/>
      </c>
      <c r="BU21" s="13" t="str">
        <f t="shared" si="12"/>
        <v>9SHAP2</v>
      </c>
      <c r="BW21" s="13" t="str">
        <f ca="1">IF(INDIRECT(ADDRESS(ROW(), COLUMN()-1))="", "", IFERROR(VLOOKUP(INDIRECT(ADDRESS(ROW(), COLUMN()-1)), LOOKUP_SHEET!C:D, 2, 0), "Incorrect"))</f>
        <v/>
      </c>
      <c r="BX21" s="13" t="str">
        <f t="shared" si="13"/>
        <v>11LENG</v>
      </c>
      <c r="BZ21" s="13" t="str">
        <f ca="1">IF(INDIRECT(ADDRESS(ROW(), COLUMN()-1))="", "", IFERROR(VLOOKUP(INDIRECT(ADDRESS(ROW(), COLUMN()-1)), LOOKUP_SHEET!C:D, 2, 0), "Incorrect"))</f>
        <v/>
      </c>
      <c r="CA21" s="13" t="str">
        <f t="shared" si="14"/>
        <v>12NECK</v>
      </c>
      <c r="CC21" s="13" t="str">
        <f ca="1">IF(INDIRECT(ADDRESS(ROW(), COLUMN()-1))="", "", IFERROR(VLOOKUP(INDIRECT(ADDRESS(ROW(), COLUMN()-1)), LOOKUP_SHEET!C:D, 2, 0), "Incorrect"))</f>
        <v/>
      </c>
      <c r="CD21" s="13" t="str">
        <f t="shared" si="15"/>
        <v>13THRE</v>
      </c>
      <c r="CF21" s="13" t="str">
        <f ca="1">IF(INDIRECT(ADDRESS(ROW(), COLUMN()-1))="", "", IFERROR(VLOOKUP(INDIRECT(ADDRESS(ROW(), COLUMN()-1)), LOOKUP_SHEET!C:D, 2, 0), "Incorrect"))</f>
        <v/>
      </c>
      <c r="CG21" s="13" t="str">
        <f t="shared" si="16"/>
        <v>14OTHE</v>
      </c>
      <c r="CI21" s="13" t="str">
        <f ca="1">IF(INDIRECT(ADDRESS(ROW(), COLUMN()-1))="", "", IFERROR(VLOOKUP(INDIRECT(ADDRESS(ROW(), COLUMN()-1)), LOOKUP_SHEET!C:D, 2, 0), "Incorrect"))</f>
        <v/>
      </c>
      <c r="CT21" s="13" t="str">
        <f>IN_LINK_DATA!B2</f>
        <v>chanel</v>
      </c>
      <c r="DN21" s="13" t="str">
        <f t="shared" si="17"/>
        <v>Normal</v>
      </c>
      <c r="DO21" s="13" t="str">
        <f t="shared" si="18"/>
        <v>No</v>
      </c>
    </row>
    <row r="22" spans="1:119" x14ac:dyDescent="0.25">
      <c r="A22" s="13">
        <f t="shared" si="0"/>
        <v>10</v>
      </c>
      <c r="J22" s="13" t="str">
        <f ca="1">IF(INDIRECT(ADDRESS(ROW(), COLUMN()-1))="", "", IFERROR(VLOOKUP(INDIRECT(ADDRESS(ROW(), COLUMN()-1)), LOOKUP_SHEET!C:D, 2, 0), "Incorrect"))</f>
        <v/>
      </c>
      <c r="S22" s="13" t="str">
        <f ca="1">IF(INDIRECT(ADDRESS(ROW(), COLUMN()-1))="", "", IFERROR(VLOOKUP(INDIRECT(ADDRESS(ROW(), COLUMN()-1)), LOOKUP_SHEET!C:D, 2, 0), "Incorrect"))</f>
        <v/>
      </c>
      <c r="U22" s="13" t="str">
        <f ca="1">IF(INDIRECT(ADDRESS(ROW(), COLUMN()-1))="", "", IFERROR(VLOOKUP(INDIRECT(ADDRESS(ROW(), COLUMN()-1)), LOOKUP_SHEET!C:D, 2, 0), "Incorrect"))</f>
        <v/>
      </c>
      <c r="W22" s="13" t="str">
        <f ca="1">IF(INDIRECT(ADDRESS(ROW(), COLUMN()-1))="", "", IFERROR(VLOOKUP(INDIRECT(ADDRESS(ROW(), COLUMN()-1)), LOOKUP_SHEET!C:D, 2, 0), "Incorrect"))</f>
        <v/>
      </c>
      <c r="Y22" s="13" t="str">
        <f ca="1">IF(INDIRECT(ADDRESS(ROW(), COLUMN()-1))="", "", IFERROR(VLOOKUP(INDIRECT(ADDRESS(ROW(), COLUMN()-1)), LOOKUP_SHEET!C:D, 2, 0), "Incorrect"))</f>
        <v/>
      </c>
      <c r="AE22" s="13" t="str">
        <f t="shared" ca="1" si="1"/>
        <v/>
      </c>
      <c r="AH22" s="13" t="str">
        <f t="shared" si="2"/>
        <v>EA</v>
      </c>
      <c r="AJ22" s="13" t="str">
        <f ca="1">IF(INDIRECT(ADDRESS(ROW(), COLUMN()+1))="", "", IFERROR(VLOOKUP(INDIRECT(ADDRESS(ROW(), COLUMN()+1)), LOOKUP_SHEET!C:D, 2, 0), "Incorrect"))</f>
        <v/>
      </c>
      <c r="AM22" s="13" t="str">
        <f ca="1">IF(INDIRECT(ADDRESS(ROW(), COLUMN()-1))="", "", IFERROR(VLOOKUP(INDIRECT(ADDRESS(ROW(), COLUMN()-1)), LOOKUP_SHEET!C:D, 2, 0), "Incorrect"))</f>
        <v/>
      </c>
      <c r="AN22" s="13" t="str">
        <f ca="1">IF(INDIRECT(ADDRESS(ROW(), COLUMN()-1))="", "", IFERROR(VLOOKUP(INDIRECT(ADDRESS(ROW(), COLUMN()-1)), LOOKUP_SHEET!C:D, 2, 0), "Incorrect"))</f>
        <v/>
      </c>
      <c r="AT22" s="13" t="str">
        <f t="shared" si="3"/>
        <v>1SEASO</v>
      </c>
      <c r="AV22" s="13" t="str">
        <f ca="1">IF(INDIRECT(ADDRESS(ROW(), COLUMN()-1))="", "", IFERROR(VLOOKUP(INDIRECT(ADDRESS(ROW(), COLUMN()-1)), LOOKUP_SHEET!C:D, 2, 0), "Incorrect"))</f>
        <v/>
      </c>
      <c r="AW22" s="13" t="str">
        <f t="shared" si="4"/>
        <v>3TYPE</v>
      </c>
      <c r="AY22" s="13" t="str">
        <f ca="1">IF(INDIRECT(ADDRESS(ROW(), COLUMN()-1))="", "", IFERROR(VLOOKUP(INDIRECT(ADDRESS(ROW(), COLUMN()-1)), LOOKUP_SHEET!C:D, 2, 0), "Incorrect"))</f>
        <v/>
      </c>
      <c r="AZ22" s="13" t="str">
        <f t="shared" si="5"/>
        <v>6CHARA</v>
      </c>
      <c r="BB22" s="13" t="str">
        <f ca="1">IF(INDIRECT(ADDRESS(ROW(), COLUMN()-1))="", "", IFERROR(VLOOKUP(INDIRECT(ADDRESS(ROW(), COLUMN()-1)), LOOKUP_SHEET!C:D, 2, 0), "Incorrect"))</f>
        <v/>
      </c>
      <c r="BC22" s="13" t="str">
        <f t="shared" si="6"/>
        <v>4SCATE</v>
      </c>
      <c r="BE22" s="13" t="str">
        <f ca="1">IF(INDIRECT(ADDRESS(ROW(), COLUMN()-1))="", "", IFERROR(VLOOKUP(INDIRECT(ADDRESS(ROW(), COLUMN()-1)), LOOKUP_SHEET!C:D, 2, 0), "Incorrect"))</f>
        <v/>
      </c>
      <c r="BF22" s="13" t="str">
        <f t="shared" si="7"/>
        <v>2GENDE</v>
      </c>
      <c r="BH22" s="13" t="str">
        <f ca="1">IF(INDIRECT(ADDRESS(ROW(), COLUMN()-1))="", "", IFERROR(VLOOKUP(INDIRECT(ADDRESS(ROW(), COLUMN()-1)), LOOKUP_SHEET!C:D, 2, 0), "Incorrect"))</f>
        <v/>
      </c>
      <c r="BI22" s="13" t="str">
        <f t="shared" si="8"/>
        <v>5COLLE</v>
      </c>
      <c r="BK22" s="13" t="str">
        <f ca="1">IF(INDIRECT(ADDRESS(ROW(), COLUMN()-1))="", "", IFERROR(VLOOKUP(INDIRECT(ADDRESS(ROW(), COLUMN()-1)), LOOKUP_SHEET!C:D, 2, 0), "Incorrect"))</f>
        <v/>
      </c>
      <c r="BL22" s="13" t="str">
        <f t="shared" si="9"/>
        <v>7DESIG</v>
      </c>
      <c r="BN22" s="13" t="str">
        <f ca="1">IF(INDIRECT(ADDRESS(ROW(), COLUMN()-1))="", "", IFERROR(VLOOKUP(INDIRECT(ADDRESS(ROW(), COLUMN()-1)), LOOKUP_SHEET!C:D, 2, 0), "Incorrect"))</f>
        <v/>
      </c>
      <c r="BO22" s="13" t="str">
        <f t="shared" si="10"/>
        <v>10MATE</v>
      </c>
      <c r="BQ22" s="13" t="str">
        <f ca="1">IF(INDIRECT(ADDRESS(ROW(), COLUMN()-1))="", "", IFERROR(VLOOKUP(INDIRECT(ADDRESS(ROW(), COLUMN()-1)), LOOKUP_SHEET!C:D, 2, 0), "Incorrect"))</f>
        <v/>
      </c>
      <c r="BR22" s="13" t="str">
        <f t="shared" si="11"/>
        <v>8SHAP1</v>
      </c>
      <c r="BT22" s="13" t="str">
        <f ca="1">IF(INDIRECT(ADDRESS(ROW(), COLUMN()-1))="", "", IFERROR(VLOOKUP(INDIRECT(ADDRESS(ROW(), COLUMN()-1)), LOOKUP_SHEET!C:D, 2, 0), "Incorrect"))</f>
        <v/>
      </c>
      <c r="BU22" s="13" t="str">
        <f t="shared" si="12"/>
        <v>9SHAP2</v>
      </c>
      <c r="BW22" s="13" t="str">
        <f ca="1">IF(INDIRECT(ADDRESS(ROW(), COLUMN()-1))="", "", IFERROR(VLOOKUP(INDIRECT(ADDRESS(ROW(), COLUMN()-1)), LOOKUP_SHEET!C:D, 2, 0), "Incorrect"))</f>
        <v/>
      </c>
      <c r="BX22" s="13" t="str">
        <f t="shared" si="13"/>
        <v>11LENG</v>
      </c>
      <c r="BZ22" s="13" t="str">
        <f ca="1">IF(INDIRECT(ADDRESS(ROW(), COLUMN()-1))="", "", IFERROR(VLOOKUP(INDIRECT(ADDRESS(ROW(), COLUMN()-1)), LOOKUP_SHEET!C:D, 2, 0), "Incorrect"))</f>
        <v/>
      </c>
      <c r="CA22" s="13" t="str">
        <f t="shared" si="14"/>
        <v>12NECK</v>
      </c>
      <c r="CC22" s="13" t="str">
        <f ca="1">IF(INDIRECT(ADDRESS(ROW(), COLUMN()-1))="", "", IFERROR(VLOOKUP(INDIRECT(ADDRESS(ROW(), COLUMN()-1)), LOOKUP_SHEET!C:D, 2, 0), "Incorrect"))</f>
        <v/>
      </c>
      <c r="CD22" s="13" t="str">
        <f t="shared" si="15"/>
        <v>13THRE</v>
      </c>
      <c r="CF22" s="13" t="str">
        <f ca="1">IF(INDIRECT(ADDRESS(ROW(), COLUMN()-1))="", "", IFERROR(VLOOKUP(INDIRECT(ADDRESS(ROW(), COLUMN()-1)), LOOKUP_SHEET!C:D, 2, 0), "Incorrect"))</f>
        <v/>
      </c>
      <c r="CG22" s="13" t="str">
        <f t="shared" si="16"/>
        <v>14OTHE</v>
      </c>
      <c r="CI22" s="13" t="str">
        <f ca="1">IF(INDIRECT(ADDRESS(ROW(), COLUMN()-1))="", "", IFERROR(VLOOKUP(INDIRECT(ADDRESS(ROW(), COLUMN()-1)), LOOKUP_SHEET!C:D, 2, 0), "Incorrect"))</f>
        <v/>
      </c>
      <c r="CT22" s="13" t="str">
        <f>IN_LINK_DATA!B2</f>
        <v>chanel</v>
      </c>
      <c r="DN22" s="13" t="str">
        <f t="shared" si="17"/>
        <v>Normal</v>
      </c>
      <c r="DO22" s="13" t="str">
        <f t="shared" si="18"/>
        <v>No</v>
      </c>
    </row>
    <row r="23" spans="1:119" x14ac:dyDescent="0.25">
      <c r="A23" s="13">
        <f t="shared" si="0"/>
        <v>11</v>
      </c>
      <c r="J23" s="13" t="str">
        <f ca="1">IF(INDIRECT(ADDRESS(ROW(), COLUMN()-1))="", "", IFERROR(VLOOKUP(INDIRECT(ADDRESS(ROW(), COLUMN()-1)), LOOKUP_SHEET!C:D, 2, 0), "Incorrect"))</f>
        <v/>
      </c>
      <c r="S23" s="13" t="str">
        <f ca="1">IF(INDIRECT(ADDRESS(ROW(), COLUMN()-1))="", "", IFERROR(VLOOKUP(INDIRECT(ADDRESS(ROW(), COLUMN()-1)), LOOKUP_SHEET!C:D, 2, 0), "Incorrect"))</f>
        <v/>
      </c>
      <c r="U23" s="13" t="str">
        <f ca="1">IF(INDIRECT(ADDRESS(ROW(), COLUMN()-1))="", "", IFERROR(VLOOKUP(INDIRECT(ADDRESS(ROW(), COLUMN()-1)), LOOKUP_SHEET!C:D, 2, 0), "Incorrect"))</f>
        <v/>
      </c>
      <c r="W23" s="13" t="str">
        <f ca="1">IF(INDIRECT(ADDRESS(ROW(), COLUMN()-1))="", "", IFERROR(VLOOKUP(INDIRECT(ADDRESS(ROW(), COLUMN()-1)), LOOKUP_SHEET!C:D, 2, 0), "Incorrect"))</f>
        <v/>
      </c>
      <c r="Y23" s="13" t="str">
        <f ca="1">IF(INDIRECT(ADDRESS(ROW(), COLUMN()-1))="", "", IFERROR(VLOOKUP(INDIRECT(ADDRESS(ROW(), COLUMN()-1)), LOOKUP_SHEET!C:D, 2, 0), "Incorrect"))</f>
        <v/>
      </c>
      <c r="AE23" s="13" t="str">
        <f t="shared" ca="1" si="1"/>
        <v/>
      </c>
      <c r="AH23" s="13" t="str">
        <f t="shared" si="2"/>
        <v>EA</v>
      </c>
      <c r="AJ23" s="13" t="str">
        <f ca="1">IF(INDIRECT(ADDRESS(ROW(), COLUMN()+1))="", "", IFERROR(VLOOKUP(INDIRECT(ADDRESS(ROW(), COLUMN()+1)), LOOKUP_SHEET!C:D, 2, 0), "Incorrect"))</f>
        <v/>
      </c>
      <c r="AM23" s="13" t="str">
        <f ca="1">IF(INDIRECT(ADDRESS(ROW(), COLUMN()-1))="", "", IFERROR(VLOOKUP(INDIRECT(ADDRESS(ROW(), COLUMN()-1)), LOOKUP_SHEET!C:D, 2, 0), "Incorrect"))</f>
        <v/>
      </c>
      <c r="AN23" s="13" t="str">
        <f ca="1">IF(INDIRECT(ADDRESS(ROW(), COLUMN()-1))="", "", IFERROR(VLOOKUP(INDIRECT(ADDRESS(ROW(), COLUMN()-1)), LOOKUP_SHEET!C:D, 2, 0), "Incorrect"))</f>
        <v/>
      </c>
      <c r="AT23" s="13" t="str">
        <f t="shared" si="3"/>
        <v>1SEASO</v>
      </c>
      <c r="AV23" s="13" t="str">
        <f ca="1">IF(INDIRECT(ADDRESS(ROW(), COLUMN()-1))="", "", IFERROR(VLOOKUP(INDIRECT(ADDRESS(ROW(), COLUMN()-1)), LOOKUP_SHEET!C:D, 2, 0), "Incorrect"))</f>
        <v/>
      </c>
      <c r="AW23" s="13" t="str">
        <f t="shared" si="4"/>
        <v>3TYPE</v>
      </c>
      <c r="AY23" s="13" t="str">
        <f ca="1">IF(INDIRECT(ADDRESS(ROW(), COLUMN()-1))="", "", IFERROR(VLOOKUP(INDIRECT(ADDRESS(ROW(), COLUMN()-1)), LOOKUP_SHEET!C:D, 2, 0), "Incorrect"))</f>
        <v/>
      </c>
      <c r="AZ23" s="13" t="str">
        <f t="shared" si="5"/>
        <v>6CHARA</v>
      </c>
      <c r="BB23" s="13" t="str">
        <f ca="1">IF(INDIRECT(ADDRESS(ROW(), COLUMN()-1))="", "", IFERROR(VLOOKUP(INDIRECT(ADDRESS(ROW(), COLUMN()-1)), LOOKUP_SHEET!C:D, 2, 0), "Incorrect"))</f>
        <v/>
      </c>
      <c r="BC23" s="13" t="str">
        <f t="shared" si="6"/>
        <v>4SCATE</v>
      </c>
      <c r="BE23" s="13" t="str">
        <f ca="1">IF(INDIRECT(ADDRESS(ROW(), COLUMN()-1))="", "", IFERROR(VLOOKUP(INDIRECT(ADDRESS(ROW(), COLUMN()-1)), LOOKUP_SHEET!C:D, 2, 0), "Incorrect"))</f>
        <v/>
      </c>
      <c r="BF23" s="13" t="str">
        <f t="shared" si="7"/>
        <v>2GENDE</v>
      </c>
      <c r="BH23" s="13" t="str">
        <f ca="1">IF(INDIRECT(ADDRESS(ROW(), COLUMN()-1))="", "", IFERROR(VLOOKUP(INDIRECT(ADDRESS(ROW(), COLUMN()-1)), LOOKUP_SHEET!C:D, 2, 0), "Incorrect"))</f>
        <v/>
      </c>
      <c r="BI23" s="13" t="str">
        <f t="shared" si="8"/>
        <v>5COLLE</v>
      </c>
      <c r="BK23" s="13" t="str">
        <f ca="1">IF(INDIRECT(ADDRESS(ROW(), COLUMN()-1))="", "", IFERROR(VLOOKUP(INDIRECT(ADDRESS(ROW(), COLUMN()-1)), LOOKUP_SHEET!C:D, 2, 0), "Incorrect"))</f>
        <v/>
      </c>
      <c r="BL23" s="13" t="str">
        <f t="shared" si="9"/>
        <v>7DESIG</v>
      </c>
      <c r="BN23" s="13" t="str">
        <f ca="1">IF(INDIRECT(ADDRESS(ROW(), COLUMN()-1))="", "", IFERROR(VLOOKUP(INDIRECT(ADDRESS(ROW(), COLUMN()-1)), LOOKUP_SHEET!C:D, 2, 0), "Incorrect"))</f>
        <v/>
      </c>
      <c r="BO23" s="13" t="str">
        <f t="shared" si="10"/>
        <v>10MATE</v>
      </c>
      <c r="BQ23" s="13" t="str">
        <f ca="1">IF(INDIRECT(ADDRESS(ROW(), COLUMN()-1))="", "", IFERROR(VLOOKUP(INDIRECT(ADDRESS(ROW(), COLUMN()-1)), LOOKUP_SHEET!C:D, 2, 0), "Incorrect"))</f>
        <v/>
      </c>
      <c r="BR23" s="13" t="str">
        <f t="shared" si="11"/>
        <v>8SHAP1</v>
      </c>
      <c r="BT23" s="13" t="str">
        <f ca="1">IF(INDIRECT(ADDRESS(ROW(), COLUMN()-1))="", "", IFERROR(VLOOKUP(INDIRECT(ADDRESS(ROW(), COLUMN()-1)), LOOKUP_SHEET!C:D, 2, 0), "Incorrect"))</f>
        <v/>
      </c>
      <c r="BU23" s="13" t="str">
        <f t="shared" si="12"/>
        <v>9SHAP2</v>
      </c>
      <c r="BW23" s="13" t="str">
        <f ca="1">IF(INDIRECT(ADDRESS(ROW(), COLUMN()-1))="", "", IFERROR(VLOOKUP(INDIRECT(ADDRESS(ROW(), COLUMN()-1)), LOOKUP_SHEET!C:D, 2, 0), "Incorrect"))</f>
        <v/>
      </c>
      <c r="BX23" s="13" t="str">
        <f t="shared" si="13"/>
        <v>11LENG</v>
      </c>
      <c r="BZ23" s="13" t="str">
        <f ca="1">IF(INDIRECT(ADDRESS(ROW(), COLUMN()-1))="", "", IFERROR(VLOOKUP(INDIRECT(ADDRESS(ROW(), COLUMN()-1)), LOOKUP_SHEET!C:D, 2, 0), "Incorrect"))</f>
        <v/>
      </c>
      <c r="CA23" s="13" t="str">
        <f t="shared" si="14"/>
        <v>12NECK</v>
      </c>
      <c r="CC23" s="13" t="str">
        <f ca="1">IF(INDIRECT(ADDRESS(ROW(), COLUMN()-1))="", "", IFERROR(VLOOKUP(INDIRECT(ADDRESS(ROW(), COLUMN()-1)), LOOKUP_SHEET!C:D, 2, 0), "Incorrect"))</f>
        <v/>
      </c>
      <c r="CD23" s="13" t="str">
        <f t="shared" si="15"/>
        <v>13THRE</v>
      </c>
      <c r="CF23" s="13" t="str">
        <f ca="1">IF(INDIRECT(ADDRESS(ROW(), COLUMN()-1))="", "", IFERROR(VLOOKUP(INDIRECT(ADDRESS(ROW(), COLUMN()-1)), LOOKUP_SHEET!C:D, 2, 0), "Incorrect"))</f>
        <v/>
      </c>
      <c r="CG23" s="13" t="str">
        <f t="shared" si="16"/>
        <v>14OTHE</v>
      </c>
      <c r="CI23" s="13" t="str">
        <f ca="1">IF(INDIRECT(ADDRESS(ROW(), COLUMN()-1))="", "", IFERROR(VLOOKUP(INDIRECT(ADDRESS(ROW(), COLUMN()-1)), LOOKUP_SHEET!C:D, 2, 0), "Incorrect"))</f>
        <v/>
      </c>
      <c r="CT23" s="13" t="str">
        <f>IN_LINK_DATA!B2</f>
        <v>chanel</v>
      </c>
      <c r="DN23" s="13" t="str">
        <f t="shared" si="17"/>
        <v>Normal</v>
      </c>
      <c r="DO23" s="13" t="str">
        <f t="shared" si="18"/>
        <v>No</v>
      </c>
    </row>
  </sheetData>
  <dataValidations count="46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jda_color</formula1>
    </dataValidation>
    <dataValidation type="list" allowBlank="1" showInputMessage="1" showErrorMessage="1" sqref="AL13 AL14 AL15 AL16 AL17 AL18 AL19 AL20 AL21 AL22 AL23" xr:uid="{00000000-0002-0000-0000-000007000000}">
      <formula1>size_range</formula1>
    </dataValidation>
    <dataValidation type="list" allowBlank="1" showInputMessage="1" showErrorMessage="1" sqref="AT13 AT14 AT15 AT16 AT17 AT18 AT19 AT20 AT21 AT22 AT23" xr:uid="{00000000-0002-0000-0000-000008000000}">
      <formula1>season_code_name</formula1>
    </dataValidation>
    <dataValidation type="list" allowBlank="1" showInputMessage="1" showErrorMessage="1" sqref="AU13 AU14 AU15 AU16 AU17 AU18 AU19 AU20 AU21 AU22 AU23" xr:uid="{00000000-0002-0000-0000-000009000000}">
      <formula1>season_code_value</formula1>
    </dataValidation>
    <dataValidation type="list" allowBlank="1" showInputMessage="1" showErrorMessage="1" sqref="AW13 AW14 AW15 AW16 AW17 AW18 AW19 AW20 AW21 AW22 AW23" xr:uid="{00000000-0002-0000-0000-00000A000000}">
      <formula1>sourcing_type_name</formula1>
    </dataValidation>
    <dataValidation type="list" allowBlank="1" showInputMessage="1" showErrorMessage="1" sqref="AX13 AX14 AX15 AX16 AX17 AX18 AX19 AX20 AX21 AX22 AX23" xr:uid="{00000000-0002-0000-0000-00000B000000}">
      <formula1>sourcing_type_value</formula1>
    </dataValidation>
    <dataValidation type="list" allowBlank="1" showInputMessage="1" showErrorMessage="1" sqref="AZ13 AZ14 AZ15 AZ16 AZ17 AZ18 AZ19 AZ20 AZ21 AZ22 AZ23" xr:uid="{00000000-0002-0000-0000-00000C000000}">
      <formula1>character_code</formula1>
    </dataValidation>
    <dataValidation type="list" allowBlank="1" showInputMessage="1" showErrorMessage="1" sqref="BA13 BA14 BA15 BA16 BA17 BA18 BA19 BA20 BA21 BA22 BA23" xr:uid="{00000000-0002-0000-0000-00000D000000}">
      <formula1>character_value</formula1>
    </dataValidation>
    <dataValidation type="list" allowBlank="1" showInputMessage="1" showErrorMessage="1" sqref="BC13 BC14 BC15 BC16 BC17 BC18 BC19 BC20 BC21 BC22 BC23" xr:uid="{00000000-0002-0000-0000-00000E000000}">
      <formula1>S_CATEGORY_ZONE_TYPE_name</formula1>
    </dataValidation>
    <dataValidation type="list" allowBlank="1" showInputMessage="1" showErrorMessage="1" sqref="BD13 BD14 BD15 BD16 BD17 BD18 BD19 BD20 BD21 BD22 BD23" xr:uid="{00000000-0002-0000-0000-00000F000000}">
      <formula1>S_CATEGORY_ZONE_TYPE_value</formula1>
    </dataValidation>
    <dataValidation type="list" allowBlank="1" showInputMessage="1" showErrorMessage="1" sqref="BF13 BF14 BF15 BF16 BF17 BF18 BF19 BF20 BF21 BF22 BF23" xr:uid="{00000000-0002-0000-0000-000010000000}">
      <formula1>gender_name</formula1>
    </dataValidation>
    <dataValidation type="list" allowBlank="1" showInputMessage="1" showErrorMessage="1" sqref="BG13 BG14 BG15 BG16 BG17 BG18 BG19 BG20 BG21 BG22 BG23" xr:uid="{00000000-0002-0000-0000-000011000000}">
      <formula1>gender_value</formula1>
    </dataValidation>
    <dataValidation type="list" allowBlank="1" showInputMessage="1" showErrorMessage="1" sqref="BI13 BI14 BI15 BI16 BI17 BI18 BI19 BI20 BI21 BI22 BI23" xr:uid="{00000000-0002-0000-0000-000012000000}">
      <formula1>collection_code</formula1>
    </dataValidation>
    <dataValidation type="list" allowBlank="1" showInputMessage="1" showErrorMessage="1" sqref="BJ13 BJ14 BJ15 BJ16 BJ17 BJ18 BJ19 BJ20 BJ21 BJ22 BJ23" xr:uid="{00000000-0002-0000-0000-000013000000}">
      <formula1>collection_value</formula1>
    </dataValidation>
    <dataValidation type="list" allowBlank="1" showInputMessage="1" showErrorMessage="1" sqref="BL13 BL14 BL15 BL16 BL17 BL18 BL19 BL20 BL21 BL22 BL23" xr:uid="{00000000-0002-0000-0000-000014000000}">
      <formula1>design_code</formula1>
    </dataValidation>
    <dataValidation type="list" allowBlank="1" showInputMessage="1" showErrorMessage="1" sqref="BO13 BO14 BO15 BO16 BO17 BO18 BO19 BO20 BO21 BO22 BO23" xr:uid="{00000000-0002-0000-0000-000015000000}">
      <formula1>shape1_name</formula1>
    </dataValidation>
    <dataValidation type="list" allowBlank="1" showInputMessage="1" showErrorMessage="1" sqref="BR13 BR14 BR15 BR16 BR17 BR18 BR19 BR20 BR21 BR22 BR23" xr:uid="{00000000-0002-0000-0000-000016000000}">
      <formula1>shape2_name</formula1>
    </dataValidation>
    <dataValidation type="list" allowBlank="1" showInputMessage="1" showErrorMessage="1" sqref="BU13 BU14 BU15 BU16 BU17 BU18 BU19 BU20 BU21 BU22 BU23" xr:uid="{00000000-0002-0000-0000-000017000000}">
      <formula1>meterial_name</formula1>
    </dataValidation>
    <dataValidation type="list" allowBlank="1" showInputMessage="1" showErrorMessage="1" sqref="BX13 BX14 BX15 BX16 BX17 BX18 BX19 BX20 BX21 BX22 BX23" xr:uid="{00000000-0002-0000-0000-000018000000}">
      <formula1>sleeve_length_name</formula1>
    </dataValidation>
    <dataValidation type="list" allowBlank="1" showInputMessage="1" showErrorMessage="1" sqref="CA13 CA14 CA15 CA16 CA17 CA18 CA19 CA20 CA21 CA22 CA23" xr:uid="{00000000-0002-0000-0000-000019000000}">
      <formula1>neck_name</formula1>
    </dataValidation>
    <dataValidation type="list" allowBlank="1" showInputMessage="1" showErrorMessage="1" sqref="CD13 CD14 CD15 CD16 CD17 CD18 CD19 CD20 CD21 CD22 CD23" xr:uid="{00000000-0002-0000-0000-00001A000000}">
      <formula1>thread_count_name</formula1>
    </dataValidation>
    <dataValidation type="list" allowBlank="1" showInputMessage="1" showErrorMessage="1" sqref="CG13 CG14 CG15 CG16 CG17 CG18 CG19 CG20 CG21 CG22 CG23" xr:uid="{00000000-0002-0000-0000-00001B000000}">
      <formula1>other_name</formula1>
    </dataValidation>
    <dataValidation type="list" allowBlank="1" showInputMessage="1" showErrorMessage="1" sqref="CR13 CR14 CR15 CR16 CR17 CR18 CR19 CR20 CR21 CR22 CR23" xr:uid="{00000000-0002-0000-0000-00001C000000}">
      <formula1>online_categories</formula1>
    </dataValidation>
    <dataValidation type="list" allowBlank="1" showInputMessage="1" showErrorMessage="1" sqref="DC13 DC14 DC15 DC16 DC17 DC18 DC19 DC20 DC21 DC22 DC23" xr:uid="{00000000-0002-0000-0000-00001D000000}">
      <formula1>gender</formula1>
    </dataValidation>
    <dataValidation type="list" allowBlank="1" showInputMessage="1" showErrorMessage="1" sqref="DD13 DD14 DD15 DD16 DD17 DD18 DD19 DD20 DD21 DD22 DD23" xr:uid="{00000000-0002-0000-0000-00001E000000}">
      <formula1>age_range</formula1>
    </dataValidation>
    <dataValidation type="list" allowBlank="1" showInputMessage="1" showErrorMessage="1" sqref="DE13 DE14 DE15 DE16 DE17 DE18 DE19 DE20 DE21 DE22 DE23" xr:uid="{00000000-0002-0000-0000-00001F000000}">
      <formula1>group_by</formula1>
    </dataValidation>
    <dataValidation type="list" allowBlank="1" showInputMessage="1" showErrorMessage="1" sqref="DG13 DG14 DG15 DG16 DG17 DG18 DG19 DG20 DG21 DG22 DG23" xr:uid="{00000000-0002-0000-0000-000020000000}">
      <formula1>color_group</formula1>
    </dataValidation>
    <dataValidation type="list" allowBlank="1" showInputMessage="1" showErrorMessage="1" sqref="DH13 DH14 DH15 DH16 DH17 DH18 DH19 DH20 DH21 DH22 DH23" xr:uid="{00000000-0002-0000-0000-000021000000}">
      <formula1>color_shade</formula1>
    </dataValidation>
    <dataValidation type="list" allowBlank="1" showInputMessage="1" showErrorMessage="1" sqref="DN13 DN14 DN15 DN16 DN17 DN18 DN19 DN20 DN21 DN22 DN23" xr:uid="{00000000-0002-0000-0000-000022000000}">
      <formula1>product_sell_type</formula1>
    </dataValidation>
    <dataValidation type="list" allowBlank="1" showInputMessage="1" showErrorMessage="1" sqref="DO13 DO14 DO15 DO16 DO17 DO18 DO19 DO20 DO21 DO22 DO23" xr:uid="{00000000-0002-0000-0000-000023000000}">
      <formula1>one_hr_pickup</formula1>
    </dataValidation>
    <dataValidation type="list" allowBlank="1" showInputMessage="1" showErrorMessage="1" sqref="DQ13 DQ14 DQ15 DQ16 DQ17 DQ18 DQ19 DQ20 DQ21 DQ22 DQ23" xr:uid="{00000000-0002-0000-0000-000024000000}">
      <formula1>beauty_hair_concern</formula1>
    </dataValidation>
    <dataValidation type="list" allowBlank="1" showInputMessage="1" showErrorMessage="1" sqref="DR13 DR14 DR15 DR16 DR17 DR18 DR19 DR20 DR21 DR22 DR23" xr:uid="{00000000-0002-0000-0000-000025000000}">
      <formula1>beauty_hair_type</formula1>
    </dataValidation>
    <dataValidation type="list" allowBlank="1" showInputMessage="1" showErrorMessage="1" sqref="DS13 DS14 DS15 DS16 DS17 DS18 DS19 DS20 DS21 DS22 DS23" xr:uid="{00000000-0002-0000-0000-000026000000}">
      <formula1>beauty_set_type</formula1>
    </dataValidation>
    <dataValidation type="list" allowBlank="1" showInputMessage="1" showErrorMessage="1" sqref="DT13 DT14 DT15 DT16 DT17 DT18 DT19 DT20 DT21 DT22 DT23" xr:uid="{00000000-0002-0000-0000-000027000000}">
      <formula1>beauty_skin_concern</formula1>
    </dataValidation>
    <dataValidation type="list" allowBlank="1" showInputMessage="1" showErrorMessage="1" sqref="DU13 DU14 DU15 DU16 DU17 DU18 DU19 DU20 DU21 DU22 DU23" xr:uid="{00000000-0002-0000-0000-000028000000}">
      <formula1>beauty_skin_type</formula1>
    </dataValidation>
    <dataValidation type="list" allowBlank="1" showInputMessage="1" showErrorMessage="1" sqref="DX13 DX14 DX15 DX16 DX17 DX18 DX19 DX20 DX21 DX22 DX23" xr:uid="{00000000-0002-0000-0000-000029000000}">
      <formula1>ingredients</formula1>
    </dataValidation>
    <dataValidation type="list" allowBlank="1" showInputMessage="1" showErrorMessage="1" sqref="DY13 DY14 DY15 DY16 DY17 DY18 DY19 DY20 DY21 DY22 DY23" xr:uid="{00000000-0002-0000-0000-00002A000000}">
      <formula1>is_travel</formula1>
    </dataValidation>
    <dataValidation type="list" allowBlank="1" showInputMessage="1" showErrorMessage="1" sqref="EB13 EB14 EB15 EB16 EB17 EB18 EB19 EB20 EB21 EB22 EB23" xr:uid="{00000000-0002-0000-0000-00002B000000}">
      <formula1>scent_group</formula1>
    </dataValidation>
    <dataValidation type="list" allowBlank="1" showInputMessage="1" showErrorMessage="1" sqref="EH13 EH14 EH15 EH16 EH17 EH18 EH19 EH20 EH21 EH22 EH23" xr:uid="{00000000-0002-0000-0000-00002C000000}">
      <formula1>unit_shelf_life</formula1>
    </dataValidation>
    <dataValidation type="list" allowBlank="1" showInputMessage="1" showErrorMessage="1" sqref="EJ13 EJ14 EJ15 EJ16 EJ17 EJ18 EJ19 EJ20 EJ21 EJ22 EJ23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446</v>
      </c>
      <c r="AE6" t="s">
        <v>447</v>
      </c>
      <c r="AG6" t="s">
        <v>448</v>
      </c>
      <c r="AH6" t="s">
        <v>449</v>
      </c>
      <c r="AI6" t="s">
        <v>450</v>
      </c>
      <c r="AJ6" t="s">
        <v>451</v>
      </c>
      <c r="AL6" t="s">
        <v>452</v>
      </c>
      <c r="AM6" t="s">
        <v>453</v>
      </c>
      <c r="AO6" t="s">
        <v>454</v>
      </c>
      <c r="AP6" t="s">
        <v>455</v>
      </c>
      <c r="AQ6" t="s">
        <v>456</v>
      </c>
    </row>
    <row r="7" spans="2:47" x14ac:dyDescent="0.25">
      <c r="C7" t="s">
        <v>360</v>
      </c>
      <c r="D7" t="s">
        <v>457</v>
      </c>
      <c r="E7" t="s">
        <v>458</v>
      </c>
      <c r="F7" t="s">
        <v>459</v>
      </c>
      <c r="G7" t="s">
        <v>457</v>
      </c>
      <c r="H7" t="s">
        <v>460</v>
      </c>
      <c r="I7" t="s">
        <v>461</v>
      </c>
      <c r="K7" t="s">
        <v>462</v>
      </c>
      <c r="O7" t="s">
        <v>463</v>
      </c>
      <c r="Q7" t="s">
        <v>464</v>
      </c>
      <c r="S7" t="s">
        <v>465</v>
      </c>
      <c r="U7" t="s">
        <v>466</v>
      </c>
      <c r="V7" t="s">
        <v>467</v>
      </c>
      <c r="AD7" t="s">
        <v>468</v>
      </c>
      <c r="AG7" t="s">
        <v>469</v>
      </c>
      <c r="AH7" t="s">
        <v>470</v>
      </c>
      <c r="AI7" t="s">
        <v>337</v>
      </c>
      <c r="AJ7" t="s">
        <v>471</v>
      </c>
      <c r="AL7" t="s">
        <v>472</v>
      </c>
      <c r="AM7" t="s">
        <v>473</v>
      </c>
      <c r="AO7" t="s">
        <v>474</v>
      </c>
      <c r="AP7" t="s">
        <v>475</v>
      </c>
      <c r="AQ7" t="s">
        <v>476</v>
      </c>
    </row>
    <row r="8" spans="2:47" x14ac:dyDescent="0.25">
      <c r="C8" t="s">
        <v>477</v>
      </c>
      <c r="D8" t="s">
        <v>478</v>
      </c>
      <c r="E8" t="s">
        <v>479</v>
      </c>
      <c r="F8" t="s">
        <v>480</v>
      </c>
      <c r="G8" t="s">
        <v>478</v>
      </c>
      <c r="H8" t="s">
        <v>481</v>
      </c>
      <c r="I8" t="s">
        <v>482</v>
      </c>
      <c r="K8" t="s">
        <v>483</v>
      </c>
      <c r="O8" t="s">
        <v>484</v>
      </c>
      <c r="Q8" t="s">
        <v>485</v>
      </c>
      <c r="U8" t="s">
        <v>486</v>
      </c>
      <c r="V8" t="s">
        <v>487</v>
      </c>
      <c r="AD8" t="s">
        <v>488</v>
      </c>
      <c r="AG8" t="s">
        <v>489</v>
      </c>
      <c r="AH8" t="s">
        <v>490</v>
      </c>
      <c r="AI8" t="s">
        <v>491</v>
      </c>
      <c r="AL8" t="s">
        <v>492</v>
      </c>
      <c r="AM8" t="s">
        <v>493</v>
      </c>
      <c r="AO8" t="s">
        <v>494</v>
      </c>
    </row>
    <row r="9" spans="2:47" x14ac:dyDescent="0.25">
      <c r="C9" t="s">
        <v>495</v>
      </c>
      <c r="D9" t="s">
        <v>496</v>
      </c>
      <c r="E9" t="s">
        <v>497</v>
      </c>
      <c r="F9" t="s">
        <v>498</v>
      </c>
      <c r="G9" t="s">
        <v>496</v>
      </c>
      <c r="H9" t="s">
        <v>499</v>
      </c>
      <c r="I9" t="s">
        <v>500</v>
      </c>
      <c r="K9" t="s">
        <v>501</v>
      </c>
      <c r="O9" t="s">
        <v>502</v>
      </c>
      <c r="Q9" t="s">
        <v>503</v>
      </c>
      <c r="U9" t="s">
        <v>504</v>
      </c>
      <c r="V9" t="s">
        <v>505</v>
      </c>
      <c r="AD9" t="s">
        <v>506</v>
      </c>
      <c r="AG9" t="s">
        <v>507</v>
      </c>
      <c r="AH9" t="s">
        <v>508</v>
      </c>
      <c r="AI9" t="s">
        <v>509</v>
      </c>
      <c r="AL9" t="s">
        <v>510</v>
      </c>
      <c r="AO9" t="s">
        <v>511</v>
      </c>
    </row>
    <row r="10" spans="2:47" x14ac:dyDescent="0.25">
      <c r="C10" t="s">
        <v>512</v>
      </c>
      <c r="D10" t="s">
        <v>513</v>
      </c>
      <c r="E10" t="s">
        <v>514</v>
      </c>
      <c r="F10" t="s">
        <v>515</v>
      </c>
      <c r="G10" t="s">
        <v>513</v>
      </c>
      <c r="H10" t="s">
        <v>516</v>
      </c>
      <c r="I10" t="s">
        <v>517</v>
      </c>
      <c r="K10" t="s">
        <v>518</v>
      </c>
      <c r="O10" t="s">
        <v>519</v>
      </c>
      <c r="Q10" t="s">
        <v>520</v>
      </c>
      <c r="U10" t="s">
        <v>521</v>
      </c>
      <c r="V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463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519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449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470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490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508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530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448</v>
      </c>
      <c r="D7" t="s">
        <v>2770</v>
      </c>
    </row>
    <row r="8" spans="1:4" x14ac:dyDescent="0.25">
      <c r="A8">
        <v>5</v>
      </c>
      <c r="B8" t="s">
        <v>108</v>
      </c>
      <c r="C8" t="s">
        <v>469</v>
      </c>
      <c r="D8" t="s">
        <v>2771</v>
      </c>
    </row>
    <row r="9" spans="1:4" x14ac:dyDescent="0.25">
      <c r="A9">
        <v>6</v>
      </c>
      <c r="B9" t="s">
        <v>108</v>
      </c>
      <c r="C9" t="s">
        <v>489</v>
      </c>
      <c r="D9" t="s">
        <v>2772</v>
      </c>
    </row>
    <row r="10" spans="1:4" x14ac:dyDescent="0.25">
      <c r="A10">
        <v>7</v>
      </c>
      <c r="B10" t="s">
        <v>108</v>
      </c>
      <c r="C10" t="s">
        <v>507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447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450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491</v>
      </c>
      <c r="D27" t="s">
        <v>2791</v>
      </c>
    </row>
    <row r="28" spans="1:4" x14ac:dyDescent="0.25">
      <c r="A28">
        <v>25</v>
      </c>
      <c r="B28" t="s">
        <v>250</v>
      </c>
      <c r="C28" t="s">
        <v>509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449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470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490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508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455</v>
      </c>
      <c r="D249" t="s">
        <v>3093</v>
      </c>
    </row>
    <row r="250" spans="1:4" x14ac:dyDescent="0.25">
      <c r="A250">
        <v>247</v>
      </c>
      <c r="B250" t="s">
        <v>3088</v>
      </c>
      <c r="C250" t="s">
        <v>475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453</v>
      </c>
      <c r="D255" t="s">
        <v>3100</v>
      </c>
    </row>
    <row r="256" spans="1:4" x14ac:dyDescent="0.25">
      <c r="A256">
        <v>253</v>
      </c>
      <c r="B256" t="s">
        <v>3095</v>
      </c>
      <c r="C256" t="s">
        <v>473</v>
      </c>
      <c r="D256" t="s">
        <v>3101</v>
      </c>
    </row>
    <row r="257" spans="1:4" x14ac:dyDescent="0.25">
      <c r="A257">
        <v>254</v>
      </c>
      <c r="B257" t="s">
        <v>3095</v>
      </c>
      <c r="C257" t="s">
        <v>493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454</v>
      </c>
      <c r="D262" t="s">
        <v>3108</v>
      </c>
    </row>
    <row r="263" spans="1:4" x14ac:dyDescent="0.25">
      <c r="A263">
        <v>260</v>
      </c>
      <c r="B263" t="s">
        <v>3103</v>
      </c>
      <c r="C263" t="s">
        <v>474</v>
      </c>
      <c r="D263" t="s">
        <v>3109</v>
      </c>
    </row>
    <row r="264" spans="1:4" x14ac:dyDescent="0.25">
      <c r="A264">
        <v>261</v>
      </c>
      <c r="B264" t="s">
        <v>3103</v>
      </c>
      <c r="C264" t="s">
        <v>494</v>
      </c>
      <c r="D264" t="s">
        <v>3110</v>
      </c>
    </row>
    <row r="265" spans="1:4" x14ac:dyDescent="0.25">
      <c r="A265">
        <v>262</v>
      </c>
      <c r="B265" t="s">
        <v>3103</v>
      </c>
      <c r="C265" t="s">
        <v>511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452</v>
      </c>
      <c r="D274" t="s">
        <v>3121</v>
      </c>
    </row>
    <row r="275" spans="1:4" x14ac:dyDescent="0.25">
      <c r="A275">
        <v>272</v>
      </c>
      <c r="B275" t="s">
        <v>3116</v>
      </c>
      <c r="C275" t="s">
        <v>472</v>
      </c>
      <c r="D275" t="s">
        <v>3122</v>
      </c>
    </row>
    <row r="276" spans="1:4" x14ac:dyDescent="0.25">
      <c r="A276">
        <v>273</v>
      </c>
      <c r="B276" t="s">
        <v>3116</v>
      </c>
      <c r="C276" t="s">
        <v>492</v>
      </c>
      <c r="D276" t="s">
        <v>3123</v>
      </c>
    </row>
    <row r="277" spans="1:4" x14ac:dyDescent="0.25">
      <c r="A277">
        <v>274</v>
      </c>
      <c r="B277" t="s">
        <v>3116</v>
      </c>
      <c r="C277" t="s">
        <v>510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456</v>
      </c>
      <c r="D282" t="s">
        <v>3128</v>
      </c>
    </row>
    <row r="283" spans="1:4" x14ac:dyDescent="0.25">
      <c r="A283">
        <v>280</v>
      </c>
      <c r="B283" t="s">
        <v>127</v>
      </c>
      <c r="C283" t="s">
        <v>476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451</v>
      </c>
      <c r="D525" t="s">
        <v>451</v>
      </c>
    </row>
    <row r="526" spans="1:4" x14ac:dyDescent="0.25">
      <c r="A526">
        <v>523</v>
      </c>
      <c r="B526" t="s">
        <v>117</v>
      </c>
      <c r="C526" t="s">
        <v>471</v>
      </c>
      <c r="D526" t="s">
        <v>471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450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491</v>
      </c>
      <c r="D572" t="s">
        <v>2791</v>
      </c>
    </row>
    <row r="573" spans="1:4" x14ac:dyDescent="0.25">
      <c r="A573">
        <v>570</v>
      </c>
      <c r="B573" t="s">
        <v>3587</v>
      </c>
      <c r="C573" t="s">
        <v>509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449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470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490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508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499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512</v>
      </c>
      <c r="D1490" t="s">
        <v>512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457</v>
      </c>
      <c r="D1514" t="s">
        <v>457</v>
      </c>
    </row>
    <row r="1515" spans="1:4" x14ac:dyDescent="0.25">
      <c r="A1515">
        <v>1512</v>
      </c>
      <c r="B1515" t="s">
        <v>2768</v>
      </c>
      <c r="C1515" t="s">
        <v>496</v>
      </c>
      <c r="D1515" t="s">
        <v>496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498</v>
      </c>
      <c r="D1552" t="s">
        <v>498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478</v>
      </c>
      <c r="D1639" t="s">
        <v>478</v>
      </c>
    </row>
    <row r="1640" spans="1:4" x14ac:dyDescent="0.25">
      <c r="A1640">
        <v>1637</v>
      </c>
      <c r="B1640" t="s">
        <v>2768</v>
      </c>
      <c r="C1640" t="s">
        <v>513</v>
      </c>
      <c r="D1640" t="s">
        <v>513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465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477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495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512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457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478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496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513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458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479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497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514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459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480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459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498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459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480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515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498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498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459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480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515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498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459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480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459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459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480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515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459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480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459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459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480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515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498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459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480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515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459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498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459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480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515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459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480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515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459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480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459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480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459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480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464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459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480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459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480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515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459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480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515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459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480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498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459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480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459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480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515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480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515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498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459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480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515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498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457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478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496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513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457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478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496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457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457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478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496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513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457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478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496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513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457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478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496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457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478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496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513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457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478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496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457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478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496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513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457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478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496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457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478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457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478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496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513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478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496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513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457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457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478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496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513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496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513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457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478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496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513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457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478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496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457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478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496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513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457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478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496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513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457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478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496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513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457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478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496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513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496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496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513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457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478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496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513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513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457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478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496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457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496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513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457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478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496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513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457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478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496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457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478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496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457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478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457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478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457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457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457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457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457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478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457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457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478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496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513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457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478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496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457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478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496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513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457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478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496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457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457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457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478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496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457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457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478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496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513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457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478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496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513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457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457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503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457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457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478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496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478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457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478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457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478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478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457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478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496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513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457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478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496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457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457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457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457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478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457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478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496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457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457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457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478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496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513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457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478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496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513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457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478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496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513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457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478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496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457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478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457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478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496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513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457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457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478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513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457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457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478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496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513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457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478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496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457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478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496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513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457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496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513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457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478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496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513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457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478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496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513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457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478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496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457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478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496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513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478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496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513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457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478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513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457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478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496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513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457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478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513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457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478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496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513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457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478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496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457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457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478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496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457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478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457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478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496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513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457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457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478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457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478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460</v>
      </c>
      <c r="D4318" t="s">
        <v>460</v>
      </c>
    </row>
    <row r="4319" spans="1:4" x14ac:dyDescent="0.25">
      <c r="A4319">
        <v>4316</v>
      </c>
      <c r="B4319" t="s">
        <v>36</v>
      </c>
      <c r="C4319" t="s">
        <v>481</v>
      </c>
      <c r="D4319" t="s">
        <v>481</v>
      </c>
    </row>
    <row r="4320" spans="1:4" x14ac:dyDescent="0.25">
      <c r="A4320">
        <v>4317</v>
      </c>
      <c r="B4320" t="s">
        <v>36</v>
      </c>
      <c r="C4320" t="s">
        <v>499</v>
      </c>
      <c r="D4320" t="s">
        <v>499</v>
      </c>
    </row>
    <row r="4321" spans="1:4" x14ac:dyDescent="0.25">
      <c r="A4321">
        <v>4318</v>
      </c>
      <c r="B4321" t="s">
        <v>36</v>
      </c>
      <c r="C4321" t="s">
        <v>516</v>
      </c>
      <c r="D4321" t="s">
        <v>516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513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457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496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462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483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501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518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465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464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485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503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520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463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466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486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504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521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519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463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484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502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519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467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487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505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522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450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491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509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449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470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490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508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461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482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500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517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449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470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490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508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452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472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492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510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453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473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493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454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474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494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511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455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475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2023-05-26T03:50:16Z</dcterms:created>
  <dcterms:modified xsi:type="dcterms:W3CDTF">2023-05-26T03:50:28Z</dcterms:modified>
</cp:coreProperties>
</file>